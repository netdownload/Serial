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sheet" sheetId="1" r:id="rId1"/>
    <sheet name="Summa" sheetId="2" r:id="rId2"/>
    <sheet name="Rashod" sheetId="3" r:id="rId3"/>
    <sheet name="Svedeniya" sheetId="4" r:id="rId4"/>
  </sheets>
  <calcPr calcId="124519" fullCalcOnLoad="1"/>
</workbook>
</file>

<file path=xl/sharedStrings.xml><?xml version="1.0" encoding="utf-8"?>
<sst xmlns="http://schemas.openxmlformats.org/spreadsheetml/2006/main" count="173" uniqueCount="124">
  <si>
    <t>ОАО "Аньковское"</t>
  </si>
  <si>
    <t>Отчет за потребленную электроэнергию и мощность, Январь 2020 г.</t>
  </si>
  <si>
    <t>Счетчик №</t>
  </si>
  <si>
    <t>25506893</t>
  </si>
  <si>
    <t>Тр.тока (коэф)</t>
  </si>
  <si>
    <t>Число расчетного месяца</t>
  </si>
  <si>
    <t>Время суток</t>
  </si>
  <si>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</si>
  <si>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</si>
  <si>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</si>
  <si>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</si>
  <si>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</si>
  <si>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</si>
  <si>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</si>
  <si>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</si>
  <si>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</si>
  <si>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</si>
  <si>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</si>
  <si>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</si>
  <si>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</si>
  <si>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</si>
  <si>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</si>
  <si>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</si>
  <si>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</si>
  <si>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</si>
  <si>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</si>
  <si>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</si>
  <si>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</si>
  <si>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</si>
  <si>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</si>
  <si>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</si>
  <si>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ИТОГО</t>
  </si>
  <si>
    <t>34891189</t>
  </si>
  <si>
    <t>39790894</t>
  </si>
  <si>
    <t>Главный энергетик_________________Кабанов С.В.</t>
  </si>
  <si>
    <t>Сведения</t>
  </si>
  <si>
    <t>о фактическом почасовом расходе электрической энергии за Январь 2020 года ОАО "Аньковское"</t>
  </si>
  <si>
    <t>Договор №29</t>
  </si>
  <si>
    <t>Уровень СН2</t>
  </si>
  <si>
    <t>Сумма</t>
  </si>
  <si>
    <t>М.П.</t>
  </si>
  <si>
    <t>СВЕДЕНИЯ</t>
  </si>
  <si>
    <t>о расходе электроэнергии по ОАО "Аньковское", за Январь 2020 года.</t>
  </si>
  <si>
    <t>№ п/п</t>
  </si>
  <si>
    <t>Наименование точки учета</t>
  </si>
  <si>
    <t>Номер прибора учета</t>
  </si>
  <si>
    <t>Показания прибора учета</t>
  </si>
  <si>
    <t>Конечное</t>
  </si>
  <si>
    <t>Начальное</t>
  </si>
  <si>
    <t>Расчетный к-т</t>
  </si>
  <si>
    <t>Расход э/энергии (кВтч)</t>
  </si>
  <si>
    <t>1</t>
  </si>
  <si>
    <t>2</t>
  </si>
  <si>
    <t>3</t>
  </si>
  <si>
    <t>4</t>
  </si>
  <si>
    <t>5</t>
  </si>
  <si>
    <t>6</t>
  </si>
  <si>
    <t>7</t>
  </si>
  <si>
    <t>1.</t>
  </si>
  <si>
    <t>Потребление электроэнергии Потребителем</t>
  </si>
  <si>
    <t>1.1</t>
  </si>
  <si>
    <t>"Аньково" ВЛ-102 ЗТП-400
Т-1 активный</t>
  </si>
  <si>
    <t>1.2</t>
  </si>
  <si>
    <t>"Аньково" ВЛ-102 ЗТП-400
Т-1 реактивный</t>
  </si>
  <si>
    <t>1.3</t>
  </si>
  <si>
    <t>"Аньково" ВЛ-102 ЗТП-400
Т-2 активный</t>
  </si>
  <si>
    <t>1.4</t>
  </si>
  <si>
    <t>"Аньково" ВЛ-102 ЗТП-400
Т-2 реактивный</t>
  </si>
  <si>
    <t>1.5</t>
  </si>
  <si>
    <t>"Аньково" ВЛ-102 КТП-400
Очистные сооружения</t>
  </si>
  <si>
    <t>2.</t>
  </si>
  <si>
    <t>Потери э/э оплачиваемые активные</t>
  </si>
  <si>
    <t>2.1</t>
  </si>
  <si>
    <t>3.</t>
  </si>
  <si>
    <t>Потери э/э оплачиваемые реактивные</t>
  </si>
  <si>
    <t>3.1</t>
  </si>
  <si>
    <t>Реактивное потребление
по "Правилу"</t>
  </si>
  <si>
    <t>3.2</t>
  </si>
  <si>
    <t>4.</t>
  </si>
  <si>
    <t>Замена прибора учета э/э</t>
  </si>
  <si>
    <t>4.1</t>
  </si>
  <si>
    <t>4.2</t>
  </si>
  <si>
    <t>ИТОГО ОБЩИЙ РАСХОД (С ПОТЕРЯМИ), АКТИВНЫЙ</t>
  </si>
  <si>
    <t>ИТОГО ОБЩИЙ РАСХОД (С ПОТЕРЯМИ), РЕАКТИВНЫЙ</t>
  </si>
  <si>
    <t>М. П.</t>
  </si>
  <si>
    <t>Исполнитель_________________Кабанов С.В.</t>
  </si>
  <si>
    <t>телефон (49353) 33102</t>
  </si>
  <si>
    <t>о расходе электроэнергии за Я Н В А Р Ь 2020 г.</t>
  </si>
  <si>
    <t>ОАО "Аньковское" № ЭСК-29 от 01.07.2014 г.</t>
  </si>
  <si>
    <t>Наименование объекта</t>
  </si>
  <si>
    <t>№
фидера</t>
  </si>
  <si>
    <t>№
КТП</t>
  </si>
  <si>
    <t>Тип счетчика</t>
  </si>
  <si>
    <t>№ счетчика</t>
  </si>
  <si>
    <t>Дата снятия показаний счетчика</t>
  </si>
  <si>
    <t>Показания счетчика</t>
  </si>
  <si>
    <t>начальное</t>
  </si>
  <si>
    <t>конечное</t>
  </si>
  <si>
    <t>Разность показаний</t>
  </si>
  <si>
    <t>Коэффи-
циент счетчика</t>
  </si>
  <si>
    <t>Расход электроэнергии
(кВтч)</t>
  </si>
  <si>
    <t>9</t>
  </si>
  <si>
    <t>10</t>
  </si>
  <si>
    <t>11</t>
  </si>
  <si>
    <t>Потребители с макс. мощностью  от 150кВт до 670кВт, СН-2</t>
  </si>
  <si>
    <t>1.1. ПС "Аньково", ВЛ-10кВ №102, 107</t>
  </si>
  <si>
    <t>РУ-0,4кВ ЗТП 2*400кВА</t>
  </si>
  <si>
    <t>Т-1</t>
  </si>
  <si>
    <t>Т-2</t>
  </si>
  <si>
    <t>Меркурий 230 ART-01</t>
  </si>
  <si>
    <t>Меркурий 236 ART-03</t>
  </si>
  <si>
    <t>01.01.2020</t>
  </si>
  <si>
    <t>по профилю потребителя</t>
  </si>
  <si>
    <t>ИТОГО:</t>
  </si>
  <si>
    <t>Потери э/э оплачиваемые:</t>
  </si>
  <si>
    <t>ВСЕГО: от 150кВт до 670кВт</t>
  </si>
  <si>
    <t>Потребители с макс. Мощностью менее 150кВт, СН-2</t>
  </si>
  <si>
    <t>1.1. "Очистные сооружения"</t>
  </si>
  <si>
    <t>РУ-0,4кВ КТП-100кВа</t>
  </si>
  <si>
    <t>ИТОГО: менее 150кВт</t>
  </si>
  <si>
    <t>ИТОГО по договору №ЭСК-29</t>
  </si>
  <si>
    <t>Генеральный директор____________________________________________________</t>
  </si>
  <si>
    <t>Исполнитель:______________________________</t>
  </si>
  <si>
    <t>______________________________ /дата/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</si>
</sst>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4"/>
      <color theme="1"/>
      <name val="Times New Roman"/>
      <family val="2"/>
    </font>
    <font>
      <sz val="12"/>
      <color theme="1"/>
      <name val="Times New Roman"/>
      <family val="2"/>
    </font>
    <font>
      <sz val="8"/>
      <color theme="1"/>
      <name val="Times New Roman"/>
      <family val="2"/>
    </font>
    <font>
      <b/>
      <u/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9"/>
  <sheetViews>
    <sheetView tabSelected="1" workbookViewId="0"/>
  </sheetViews>
  <sheetFormatPr defaultRowHeight="15"/>
  <cols>
    <col min="1" max="1" width="24" customWidth="1"/>
    <col min="2" max="26" width="12" customWidth="1"/>
  </cols>
  <sheetData>
    <row r="1" spans="1:26">
      <c r="A1" s="1" t="s">
        <v>0</v>
      </c>
    </row>
    <row r="2" spans="1:26">
      <c r="A2" s="1" t="s">
        <v>1</v>
      </c>
    </row>
    <row r="3" spans="1:26">
      <c r="A3" t="s">
        <v>2</v>
      </c>
      <c r="B3" s="2" t="s">
        <v>3</v>
      </c>
    </row>
    <row r="4" spans="1:26">
      <c r="A4" t="s">
        <v>4</v>
      </c>
      <c r="B4" s="1">
        <v>120</v>
      </c>
    </row>
    <row r="5" spans="1:26">
      <c r="B5" s="3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B6" s="3"/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</row>
    <row r="7" spans="1:26">
      <c r="B7" s="3">
        <v>1</v>
      </c>
      <c r="C7" s="4">
        <v>0.303</v>
      </c>
      <c r="D7" s="4">
        <v>0.3335</v>
      </c>
      <c r="E7" s="4">
        <v>0.3515</v>
      </c>
      <c r="F7" s="4">
        <v>0.3675</v>
      </c>
      <c r="G7" s="4">
        <v>0.363</v>
      </c>
      <c r="H7" s="4">
        <v>0.354</v>
      </c>
      <c r="I7" s="4">
        <v>0.3615</v>
      </c>
      <c r="J7" s="4">
        <v>0.3535</v>
      </c>
      <c r="K7" s="4">
        <v>0.3365</v>
      </c>
      <c r="L7" s="4">
        <v>0.337</v>
      </c>
      <c r="M7" s="4">
        <v>0.3255</v>
      </c>
      <c r="N7" s="4">
        <v>0.3395</v>
      </c>
      <c r="O7" s="4">
        <v>0.321</v>
      </c>
      <c r="P7" s="4">
        <v>0.3175</v>
      </c>
      <c r="Q7" s="4">
        <v>0.3155</v>
      </c>
      <c r="R7" s="4">
        <v>0.3145</v>
      </c>
      <c r="S7" s="4">
        <v>0.314</v>
      </c>
      <c r="T7" s="4">
        <v>0.334</v>
      </c>
      <c r="U7" s="4">
        <v>0.3095</v>
      </c>
      <c r="V7" s="4">
        <v>0.31</v>
      </c>
      <c r="W7" s="4">
        <v>0.3135</v>
      </c>
      <c r="X7" s="4">
        <v>0.3745</v>
      </c>
      <c r="Y7" s="4">
        <v>0.306</v>
      </c>
      <c r="Z7" s="4">
        <v>0.3015</v>
      </c>
    </row>
    <row r="8" spans="1:26">
      <c r="B8" s="3">
        <v>2</v>
      </c>
      <c r="C8" s="4">
        <v>0.306</v>
      </c>
      <c r="D8" s="4">
        <v>0.2935</v>
      </c>
      <c r="E8" s="4">
        <v>0.2875</v>
      </c>
      <c r="F8" s="4">
        <v>0.2975</v>
      </c>
      <c r="G8" s="4">
        <v>0.2915</v>
      </c>
      <c r="H8" s="4">
        <v>0.2945</v>
      </c>
      <c r="I8" s="4">
        <v>0.321</v>
      </c>
      <c r="J8" s="4">
        <v>0.2995</v>
      </c>
      <c r="K8" s="4">
        <v>0.2995</v>
      </c>
      <c r="L8" s="4">
        <v>0.3535</v>
      </c>
      <c r="M8" s="4">
        <v>0.3755</v>
      </c>
      <c r="N8" s="4">
        <v>0.4045</v>
      </c>
      <c r="O8" s="4">
        <v>0.331</v>
      </c>
      <c r="P8" s="4">
        <v>0.289</v>
      </c>
      <c r="Q8" s="4">
        <v>0.295</v>
      </c>
      <c r="R8" s="4">
        <v>0.363</v>
      </c>
      <c r="S8" s="4">
        <v>0.411</v>
      </c>
      <c r="T8" s="4">
        <v>0.382</v>
      </c>
      <c r="U8" s="4">
        <v>0.3235</v>
      </c>
      <c r="V8" s="4">
        <v>0.321</v>
      </c>
      <c r="W8" s="4">
        <v>0.2945</v>
      </c>
      <c r="X8" s="4">
        <v>0.2935</v>
      </c>
      <c r="Y8" s="4">
        <v>0.308</v>
      </c>
      <c r="Z8" s="4">
        <v>0.2915</v>
      </c>
    </row>
    <row r="9" spans="1:26">
      <c r="B9" s="3">
        <v>3</v>
      </c>
      <c r="C9" s="4">
        <v>0.305</v>
      </c>
      <c r="D9" s="4">
        <v>0.2975</v>
      </c>
      <c r="E9" s="4">
        <v>0.29</v>
      </c>
      <c r="F9" s="4">
        <v>0.2915</v>
      </c>
      <c r="G9" s="4">
        <v>0.301</v>
      </c>
      <c r="H9" s="4">
        <v>0.307</v>
      </c>
      <c r="I9" s="4">
        <v>0.5875</v>
      </c>
      <c r="J9" s="4">
        <v>0.642</v>
      </c>
      <c r="K9" s="4">
        <v>0.6955</v>
      </c>
      <c r="L9" s="4">
        <v>0.8215</v>
      </c>
      <c r="M9" s="4">
        <v>0.96</v>
      </c>
      <c r="N9" s="4">
        <v>0.919</v>
      </c>
      <c r="O9" s="4">
        <v>0.703</v>
      </c>
      <c r="P9" s="4">
        <v>0.4585</v>
      </c>
      <c r="Q9" s="4">
        <v>0.4535</v>
      </c>
      <c r="R9" s="4">
        <v>0.4755</v>
      </c>
      <c r="S9" s="4">
        <v>0.478</v>
      </c>
      <c r="T9" s="4">
        <v>0.4595</v>
      </c>
      <c r="U9" s="4">
        <v>0.403</v>
      </c>
      <c r="V9" s="4">
        <v>0.297</v>
      </c>
      <c r="W9" s="4">
        <v>0.307</v>
      </c>
      <c r="X9" s="4">
        <v>0.2865</v>
      </c>
      <c r="Y9" s="4">
        <v>0.2815</v>
      </c>
      <c r="Z9" s="4">
        <v>0.2785</v>
      </c>
    </row>
    <row r="10" spans="1:26">
      <c r="B10" s="3">
        <v>4</v>
      </c>
      <c r="C10" s="4">
        <v>0.2695</v>
      </c>
      <c r="D10" s="4">
        <v>0.28</v>
      </c>
      <c r="E10" s="4">
        <v>0.292</v>
      </c>
      <c r="F10" s="4">
        <v>0.268</v>
      </c>
      <c r="G10" s="4">
        <v>0.2665</v>
      </c>
      <c r="H10" s="4">
        <v>0.3185</v>
      </c>
      <c r="I10" s="4">
        <v>0.544</v>
      </c>
      <c r="J10" s="4">
        <v>0.5725</v>
      </c>
      <c r="K10" s="4">
        <v>0.701</v>
      </c>
      <c r="L10" s="4">
        <v>0.8305</v>
      </c>
      <c r="M10" s="4">
        <v>0.985</v>
      </c>
      <c r="N10" s="4">
        <v>0.9865</v>
      </c>
      <c r="O10" s="4">
        <v>0.805</v>
      </c>
      <c r="P10" s="4">
        <v>0.5485</v>
      </c>
      <c r="Q10" s="4">
        <v>0.4315</v>
      </c>
      <c r="R10" s="4">
        <v>0.443</v>
      </c>
      <c r="S10" s="4">
        <v>0.401</v>
      </c>
      <c r="T10" s="4">
        <v>0.403</v>
      </c>
      <c r="U10" s="4">
        <v>0.4085</v>
      </c>
      <c r="V10" s="4">
        <v>0.3915</v>
      </c>
      <c r="W10" s="4">
        <v>0.333</v>
      </c>
      <c r="X10" s="4">
        <v>0.3215</v>
      </c>
      <c r="Y10" s="4">
        <v>0.3335</v>
      </c>
      <c r="Z10" s="4">
        <v>0.3515</v>
      </c>
    </row>
    <row r="11" spans="1:26">
      <c r="B11" s="3">
        <v>5</v>
      </c>
      <c r="C11" s="4">
        <v>0.3205</v>
      </c>
      <c r="D11" s="4">
        <v>0.3085</v>
      </c>
      <c r="E11" s="4">
        <v>0.3155</v>
      </c>
      <c r="F11" s="4">
        <v>0.3285</v>
      </c>
      <c r="G11" s="4">
        <v>0.307</v>
      </c>
      <c r="H11" s="4">
        <v>0.369</v>
      </c>
      <c r="I11" s="4">
        <v>0.476</v>
      </c>
      <c r="J11" s="4">
        <v>0.4475</v>
      </c>
      <c r="K11" s="4">
        <v>0.4805</v>
      </c>
      <c r="L11" s="4">
        <v>0.4565</v>
      </c>
      <c r="M11" s="4">
        <v>0.4405</v>
      </c>
      <c r="N11" s="4">
        <v>0.459</v>
      </c>
      <c r="O11" s="4">
        <v>0.447</v>
      </c>
      <c r="P11" s="4">
        <v>0.436</v>
      </c>
      <c r="Q11" s="4">
        <v>0.3805</v>
      </c>
      <c r="R11" s="4">
        <v>0.419</v>
      </c>
      <c r="S11" s="4">
        <v>0.378</v>
      </c>
      <c r="T11" s="4">
        <v>0.3525</v>
      </c>
      <c r="U11" s="4">
        <v>0.367</v>
      </c>
      <c r="V11" s="4">
        <v>0.345</v>
      </c>
      <c r="W11" s="4">
        <v>0.348</v>
      </c>
      <c r="X11" s="4">
        <v>0.347</v>
      </c>
      <c r="Y11" s="4">
        <v>0.325</v>
      </c>
      <c r="Z11" s="4">
        <v>0.3245</v>
      </c>
    </row>
    <row r="12" spans="1:26">
      <c r="B12" s="3">
        <v>6</v>
      </c>
      <c r="C12" s="4">
        <v>0.321</v>
      </c>
      <c r="D12" s="4">
        <v>0.324</v>
      </c>
      <c r="E12" s="4">
        <v>0.335</v>
      </c>
      <c r="F12" s="4">
        <v>0.3355</v>
      </c>
      <c r="G12" s="4">
        <v>0.328</v>
      </c>
      <c r="H12" s="4">
        <v>0.3475</v>
      </c>
      <c r="I12" s="4">
        <v>0.6195000000000001</v>
      </c>
      <c r="J12" s="4">
        <v>0.6875</v>
      </c>
      <c r="K12" s="4">
        <v>0.747</v>
      </c>
      <c r="L12" s="4">
        <v>0.908</v>
      </c>
      <c r="M12" s="4">
        <v>1.036</v>
      </c>
      <c r="N12" s="4">
        <v>0.9725</v>
      </c>
      <c r="O12" s="4">
        <v>0.832</v>
      </c>
      <c r="P12" s="4">
        <v>0.625</v>
      </c>
      <c r="Q12" s="4">
        <v>0.5615</v>
      </c>
      <c r="R12" s="4">
        <v>0.5305</v>
      </c>
      <c r="S12" s="4">
        <v>0.4805</v>
      </c>
      <c r="T12" s="4">
        <v>0.4355</v>
      </c>
      <c r="U12" s="4">
        <v>0.443</v>
      </c>
      <c r="V12" s="4">
        <v>0.442</v>
      </c>
      <c r="W12" s="4">
        <v>0.4005</v>
      </c>
      <c r="X12" s="4">
        <v>0.36</v>
      </c>
      <c r="Y12" s="4">
        <v>0.357</v>
      </c>
      <c r="Z12" s="4">
        <v>0.3495</v>
      </c>
    </row>
    <row r="13" spans="1:26">
      <c r="B13" s="3">
        <v>7</v>
      </c>
      <c r="C13" s="4">
        <v>0.3655</v>
      </c>
      <c r="D13" s="4">
        <v>0.348</v>
      </c>
      <c r="E13" s="4">
        <v>0.3435</v>
      </c>
      <c r="F13" s="4">
        <v>0.3705</v>
      </c>
      <c r="G13" s="4">
        <v>0.3685</v>
      </c>
      <c r="H13" s="4">
        <v>0.364</v>
      </c>
      <c r="I13" s="4">
        <v>0.373</v>
      </c>
      <c r="J13" s="4">
        <v>0.357</v>
      </c>
      <c r="K13" s="4">
        <v>0.374</v>
      </c>
      <c r="L13" s="4">
        <v>0.412</v>
      </c>
      <c r="M13" s="4">
        <v>0.3705</v>
      </c>
      <c r="N13" s="4">
        <v>0.355</v>
      </c>
      <c r="O13" s="4">
        <v>0.344</v>
      </c>
      <c r="P13" s="4">
        <v>0.3475</v>
      </c>
      <c r="Q13" s="4">
        <v>0.355</v>
      </c>
      <c r="R13" s="4">
        <v>0.4185</v>
      </c>
      <c r="S13" s="4">
        <v>0.3545</v>
      </c>
      <c r="T13" s="4">
        <v>0.3525</v>
      </c>
      <c r="U13" s="4">
        <v>0.3495</v>
      </c>
      <c r="V13" s="4">
        <v>0.3675</v>
      </c>
      <c r="W13" s="4">
        <v>0.35</v>
      </c>
      <c r="X13" s="4">
        <v>0.3555</v>
      </c>
      <c r="Y13" s="4">
        <v>0.3295</v>
      </c>
      <c r="Z13" s="4">
        <v>0.3415</v>
      </c>
    </row>
    <row r="14" spans="1:26">
      <c r="B14" s="3">
        <v>8</v>
      </c>
      <c r="C14" s="4">
        <v>0.3425</v>
      </c>
      <c r="D14" s="4">
        <v>0.329</v>
      </c>
      <c r="E14" s="4">
        <v>0.3515</v>
      </c>
      <c r="F14" s="4">
        <v>0.3555</v>
      </c>
      <c r="G14" s="4">
        <v>0.358</v>
      </c>
      <c r="H14" s="4">
        <v>0.35</v>
      </c>
      <c r="I14" s="4">
        <v>0.347</v>
      </c>
      <c r="J14" s="4">
        <v>0.495</v>
      </c>
      <c r="K14" s="4">
        <v>0.7165</v>
      </c>
      <c r="L14" s="4">
        <v>0.8255</v>
      </c>
      <c r="M14" s="4">
        <v>0.829</v>
      </c>
      <c r="N14" s="4">
        <v>0.9875</v>
      </c>
      <c r="O14" s="4">
        <v>0.8105</v>
      </c>
      <c r="P14" s="4">
        <v>0.5580000000000001</v>
      </c>
      <c r="Q14" s="4">
        <v>0.4905</v>
      </c>
      <c r="R14" s="4">
        <v>0.4965</v>
      </c>
      <c r="S14" s="4">
        <v>0.458</v>
      </c>
      <c r="T14" s="4">
        <v>0.4315</v>
      </c>
      <c r="U14" s="4">
        <v>0.445</v>
      </c>
      <c r="V14" s="4">
        <v>0.437</v>
      </c>
      <c r="W14" s="4">
        <v>0.4155</v>
      </c>
      <c r="X14" s="4">
        <v>0.4335</v>
      </c>
      <c r="Y14" s="4">
        <v>0.418</v>
      </c>
      <c r="Z14" s="4">
        <v>0.4035</v>
      </c>
    </row>
    <row r="15" spans="1:26">
      <c r="B15" s="3">
        <v>9</v>
      </c>
      <c r="C15" s="4">
        <v>0.3325</v>
      </c>
      <c r="D15" s="4">
        <v>0.34</v>
      </c>
      <c r="E15" s="4">
        <v>0.34</v>
      </c>
      <c r="F15" s="4">
        <v>0.3455</v>
      </c>
      <c r="G15" s="4">
        <v>0.3305</v>
      </c>
      <c r="H15" s="4">
        <v>0.391</v>
      </c>
      <c r="I15" s="4">
        <v>0.5245</v>
      </c>
      <c r="J15" s="4">
        <v>0.585</v>
      </c>
      <c r="K15" s="4">
        <v>0.658</v>
      </c>
      <c r="L15" s="4">
        <v>0.886</v>
      </c>
      <c r="M15" s="4">
        <v>0.9685</v>
      </c>
      <c r="N15" s="4">
        <v>1.015</v>
      </c>
      <c r="O15" s="4">
        <v>0.9465</v>
      </c>
      <c r="P15" s="4">
        <v>0.798</v>
      </c>
      <c r="Q15" s="4">
        <v>0.8015</v>
      </c>
      <c r="R15" s="4">
        <v>0.8425</v>
      </c>
      <c r="S15" s="4">
        <v>0.855</v>
      </c>
      <c r="T15" s="4">
        <v>0.7375</v>
      </c>
      <c r="U15" s="4">
        <v>0.7565</v>
      </c>
      <c r="V15" s="4">
        <v>0.7345</v>
      </c>
      <c r="W15" s="4">
        <v>0.677</v>
      </c>
      <c r="X15" s="4">
        <v>0.4955</v>
      </c>
      <c r="Y15" s="4">
        <v>0.427</v>
      </c>
      <c r="Z15" s="4">
        <v>0.417</v>
      </c>
    </row>
    <row r="16" spans="1:26">
      <c r="B16" s="3">
        <v>10</v>
      </c>
      <c r="C16" s="4">
        <v>0.406</v>
      </c>
      <c r="D16" s="4">
        <v>0.395</v>
      </c>
      <c r="E16" s="4">
        <v>0.3915</v>
      </c>
      <c r="F16" s="4">
        <v>0.4</v>
      </c>
      <c r="G16" s="4">
        <v>0.418</v>
      </c>
      <c r="H16" s="4">
        <v>0.453</v>
      </c>
      <c r="I16" s="4">
        <v>0.79</v>
      </c>
      <c r="J16" s="4">
        <v>1.0045</v>
      </c>
      <c r="K16" s="4">
        <v>1.2165</v>
      </c>
      <c r="L16" s="4">
        <v>1.3335</v>
      </c>
      <c r="M16" s="4">
        <v>1.4375</v>
      </c>
      <c r="N16" s="4">
        <v>1.4395</v>
      </c>
      <c r="O16" s="4">
        <v>1.342</v>
      </c>
      <c r="P16" s="4">
        <v>1.0075</v>
      </c>
      <c r="Q16" s="4">
        <v>1.0565</v>
      </c>
      <c r="R16" s="4">
        <v>1.0425</v>
      </c>
      <c r="S16" s="4">
        <v>0.9665</v>
      </c>
      <c r="T16" s="4">
        <v>0.9085</v>
      </c>
      <c r="U16" s="4">
        <v>0.8995</v>
      </c>
      <c r="V16" s="4">
        <v>0.8595</v>
      </c>
      <c r="W16" s="4">
        <v>0.8905</v>
      </c>
      <c r="X16" s="4">
        <v>0.8845</v>
      </c>
      <c r="Y16" s="4">
        <v>0.84</v>
      </c>
      <c r="Z16" s="4">
        <v>0.776</v>
      </c>
    </row>
    <row r="17" spans="2:26">
      <c r="B17" s="3">
        <v>11</v>
      </c>
      <c r="C17" s="4">
        <v>0.724</v>
      </c>
      <c r="D17" s="4">
        <v>0.759</v>
      </c>
      <c r="E17" s="4">
        <v>0.7805</v>
      </c>
      <c r="F17" s="4">
        <v>0.738</v>
      </c>
      <c r="G17" s="4">
        <v>0.6274999999999999</v>
      </c>
      <c r="H17" s="4">
        <v>0.502</v>
      </c>
      <c r="I17" s="4">
        <v>0.659</v>
      </c>
      <c r="J17" s="4">
        <v>0.834</v>
      </c>
      <c r="K17" s="4">
        <v>0.8905</v>
      </c>
      <c r="L17" s="4">
        <v>0.858</v>
      </c>
      <c r="M17" s="4">
        <v>0.9475</v>
      </c>
      <c r="N17" s="4">
        <v>0.9565</v>
      </c>
      <c r="O17" s="4">
        <v>0.8995</v>
      </c>
      <c r="P17" s="4">
        <v>0.6125</v>
      </c>
      <c r="Q17" s="4">
        <v>0.7705</v>
      </c>
      <c r="R17" s="4">
        <v>0.871</v>
      </c>
      <c r="S17" s="4">
        <v>0.8615</v>
      </c>
      <c r="T17" s="4">
        <v>0.792</v>
      </c>
      <c r="U17" s="4">
        <v>0.7544999999999999</v>
      </c>
      <c r="V17" s="4">
        <v>0.7514999999999999</v>
      </c>
      <c r="W17" s="4">
        <v>0.677</v>
      </c>
      <c r="X17" s="4">
        <v>0.5225</v>
      </c>
      <c r="Y17" s="4">
        <v>0.478</v>
      </c>
      <c r="Z17" s="4">
        <v>0.4615</v>
      </c>
    </row>
    <row r="18" spans="2:26">
      <c r="B18" s="3">
        <v>12</v>
      </c>
      <c r="C18" s="4">
        <v>0.4625</v>
      </c>
      <c r="D18" s="4">
        <v>0.481</v>
      </c>
      <c r="E18" s="4">
        <v>0.5024999999999999</v>
      </c>
      <c r="F18" s="4">
        <v>0.482</v>
      </c>
      <c r="G18" s="4">
        <v>0.4765</v>
      </c>
      <c r="H18" s="4">
        <v>0.493</v>
      </c>
      <c r="I18" s="4">
        <v>0.8815</v>
      </c>
      <c r="J18" s="4">
        <v>1.033</v>
      </c>
      <c r="K18" s="4">
        <v>1.0925</v>
      </c>
      <c r="L18" s="4">
        <v>1.2245</v>
      </c>
      <c r="M18" s="4">
        <v>1.2885</v>
      </c>
      <c r="N18" s="4">
        <v>1.4125</v>
      </c>
      <c r="O18" s="4">
        <v>1.2435</v>
      </c>
      <c r="P18" s="4">
        <v>0.7945</v>
      </c>
      <c r="Q18" s="4">
        <v>0.785</v>
      </c>
      <c r="R18" s="4">
        <v>0.8345</v>
      </c>
      <c r="S18" s="4">
        <v>0.8865</v>
      </c>
      <c r="T18" s="4">
        <v>0.8090000000000001</v>
      </c>
      <c r="U18" s="4">
        <v>0.7065</v>
      </c>
      <c r="V18" s="4">
        <v>0.7295</v>
      </c>
      <c r="W18" s="4">
        <v>0.7055</v>
      </c>
      <c r="X18" s="4">
        <v>0.5355</v>
      </c>
      <c r="Y18" s="4">
        <v>0.5</v>
      </c>
      <c r="Z18" s="4">
        <v>0.4815</v>
      </c>
    </row>
    <row r="19" spans="2:26">
      <c r="B19" s="3">
        <v>13</v>
      </c>
      <c r="C19" s="4">
        <v>0.4745</v>
      </c>
      <c r="D19" s="4">
        <v>0.472</v>
      </c>
      <c r="E19" s="4">
        <v>0.475</v>
      </c>
      <c r="F19" s="4">
        <v>0.468</v>
      </c>
      <c r="G19" s="4">
        <v>0.473</v>
      </c>
      <c r="H19" s="4">
        <v>0.486</v>
      </c>
      <c r="I19" s="4">
        <v>0.6175</v>
      </c>
      <c r="J19" s="4">
        <v>0.7245</v>
      </c>
      <c r="K19" s="4">
        <v>1.0015</v>
      </c>
      <c r="L19" s="4">
        <v>0.928</v>
      </c>
      <c r="M19" s="4">
        <v>0.8764999999999999</v>
      </c>
      <c r="N19" s="4">
        <v>0.874</v>
      </c>
      <c r="O19" s="4">
        <v>0.8555</v>
      </c>
      <c r="P19" s="4">
        <v>0.8735000000000001</v>
      </c>
      <c r="Q19" s="4">
        <v>0.9195</v>
      </c>
      <c r="R19" s="4">
        <v>0.785</v>
      </c>
      <c r="S19" s="4">
        <v>0.8695000000000001</v>
      </c>
      <c r="T19" s="4">
        <v>0.8175</v>
      </c>
      <c r="U19" s="4">
        <v>0.7715</v>
      </c>
      <c r="V19" s="4">
        <v>0.618</v>
      </c>
      <c r="W19" s="4">
        <v>0.6805</v>
      </c>
      <c r="X19" s="4">
        <v>0.4855</v>
      </c>
      <c r="Y19" s="4">
        <v>0.3805</v>
      </c>
      <c r="Z19" s="4">
        <v>0.411</v>
      </c>
    </row>
    <row r="20" spans="2:26">
      <c r="B20" s="3">
        <v>14</v>
      </c>
      <c r="C20" s="4">
        <v>0.353</v>
      </c>
      <c r="D20" s="4">
        <v>0.338</v>
      </c>
      <c r="E20" s="4">
        <v>0.353</v>
      </c>
      <c r="F20" s="4">
        <v>0.3435</v>
      </c>
      <c r="G20" s="4">
        <v>0.3415</v>
      </c>
      <c r="H20" s="4">
        <v>0.4205</v>
      </c>
      <c r="I20" s="4">
        <v>0.8515</v>
      </c>
      <c r="J20" s="4">
        <v>1.0685</v>
      </c>
      <c r="K20" s="4">
        <v>1.1945</v>
      </c>
      <c r="L20" s="4">
        <v>1.243</v>
      </c>
      <c r="M20" s="4">
        <v>1.2515</v>
      </c>
      <c r="N20" s="4">
        <v>1.45</v>
      </c>
      <c r="O20" s="4">
        <v>1.2565</v>
      </c>
      <c r="P20" s="4">
        <v>1.101</v>
      </c>
      <c r="Q20" s="4">
        <v>0.9545</v>
      </c>
      <c r="R20" s="4">
        <v>0.858</v>
      </c>
      <c r="S20" s="4">
        <v>0.826</v>
      </c>
      <c r="T20" s="4">
        <v>0.766</v>
      </c>
      <c r="U20" s="4">
        <v>0.716</v>
      </c>
      <c r="V20" s="4">
        <v>0.642</v>
      </c>
      <c r="W20" s="4">
        <v>0.6655</v>
      </c>
      <c r="X20" s="4">
        <v>0.452</v>
      </c>
      <c r="Y20" s="4">
        <v>0.44</v>
      </c>
      <c r="Z20" s="4">
        <v>0.4595</v>
      </c>
    </row>
    <row r="21" spans="2:26">
      <c r="B21" s="3">
        <v>15</v>
      </c>
      <c r="C21" s="4">
        <v>0.467</v>
      </c>
      <c r="D21" s="4">
        <v>0.47</v>
      </c>
      <c r="E21" s="4">
        <v>0.455</v>
      </c>
      <c r="F21" s="4">
        <v>0.4015</v>
      </c>
      <c r="G21" s="4">
        <v>0.3855</v>
      </c>
      <c r="H21" s="4">
        <v>0.444</v>
      </c>
      <c r="I21" s="4">
        <v>0.624</v>
      </c>
      <c r="J21" s="4">
        <v>0.789</v>
      </c>
      <c r="K21" s="4">
        <v>0.919</v>
      </c>
      <c r="L21" s="4">
        <v>0.9379999999999999</v>
      </c>
      <c r="M21" s="4">
        <v>0.9350000000000001</v>
      </c>
      <c r="N21" s="4">
        <v>0.8875</v>
      </c>
      <c r="O21" s="4">
        <v>0.869</v>
      </c>
      <c r="P21" s="4">
        <v>0.7534999999999999</v>
      </c>
      <c r="Q21" s="4">
        <v>0.777</v>
      </c>
      <c r="R21" s="4">
        <v>0.7</v>
      </c>
      <c r="S21" s="4">
        <v>0.7795</v>
      </c>
      <c r="T21" s="4">
        <v>0.7605</v>
      </c>
      <c r="U21" s="4">
        <v>0.766</v>
      </c>
      <c r="V21" s="4">
        <v>0.799</v>
      </c>
      <c r="W21" s="4">
        <v>0.7835</v>
      </c>
      <c r="X21" s="4">
        <v>0.6895</v>
      </c>
      <c r="Y21" s="4">
        <v>0.7215</v>
      </c>
      <c r="Z21" s="4">
        <v>0.7045</v>
      </c>
    </row>
    <row r="22" spans="2:26">
      <c r="B22" s="3">
        <v>16</v>
      </c>
      <c r="C22" s="4">
        <v>0.7355</v>
      </c>
      <c r="D22" s="4">
        <v>0.7185</v>
      </c>
      <c r="E22" s="4">
        <v>0.6850000000000001</v>
      </c>
      <c r="F22" s="4">
        <v>0.678</v>
      </c>
      <c r="G22" s="4">
        <v>0.636</v>
      </c>
      <c r="H22" s="4">
        <v>0.619</v>
      </c>
      <c r="I22" s="4">
        <v>0.958</v>
      </c>
      <c r="J22" s="4">
        <v>0.963</v>
      </c>
      <c r="K22" s="4">
        <v>1.0255</v>
      </c>
      <c r="L22" s="4">
        <v>1.122</v>
      </c>
      <c r="M22" s="4">
        <v>1.313</v>
      </c>
      <c r="N22" s="4">
        <v>1.49</v>
      </c>
      <c r="O22" s="4">
        <v>1.344</v>
      </c>
      <c r="P22" s="4">
        <v>1.326</v>
      </c>
      <c r="Q22" s="4">
        <v>0.9605</v>
      </c>
      <c r="R22" s="4">
        <v>0.946</v>
      </c>
      <c r="S22" s="4">
        <v>0.868</v>
      </c>
      <c r="T22" s="4">
        <v>0.857</v>
      </c>
      <c r="U22" s="4">
        <v>0.832</v>
      </c>
      <c r="V22" s="4">
        <v>0.8129999999999999</v>
      </c>
      <c r="W22" s="4">
        <v>0.7565</v>
      </c>
      <c r="X22" s="4">
        <v>0.54</v>
      </c>
      <c r="Y22" s="4">
        <v>0.4135</v>
      </c>
      <c r="Z22" s="4">
        <v>0.3975</v>
      </c>
    </row>
    <row r="23" spans="2:26">
      <c r="B23" s="3">
        <v>17</v>
      </c>
      <c r="C23" s="4">
        <v>0.391</v>
      </c>
      <c r="D23" s="4">
        <v>0.3625</v>
      </c>
      <c r="E23" s="4">
        <v>0.3975</v>
      </c>
      <c r="F23" s="4">
        <v>0.383</v>
      </c>
      <c r="G23" s="4">
        <v>0.376</v>
      </c>
      <c r="H23" s="4">
        <v>0.434</v>
      </c>
      <c r="I23" s="4">
        <v>0.552</v>
      </c>
      <c r="J23" s="4">
        <v>0.6705</v>
      </c>
      <c r="K23" s="4">
        <v>0.7915</v>
      </c>
      <c r="L23" s="4">
        <v>0.8925</v>
      </c>
      <c r="M23" s="4">
        <v>0.9725</v>
      </c>
      <c r="N23" s="4">
        <v>0.911</v>
      </c>
      <c r="O23" s="4">
        <v>0.8855</v>
      </c>
      <c r="P23" s="4">
        <v>0.8095</v>
      </c>
      <c r="Q23" s="4">
        <v>0.8129999999999999</v>
      </c>
      <c r="R23" s="4">
        <v>0.7925</v>
      </c>
      <c r="S23" s="4">
        <v>0.827</v>
      </c>
      <c r="T23" s="4">
        <v>0.797</v>
      </c>
      <c r="U23" s="4">
        <v>0.7585</v>
      </c>
      <c r="V23" s="4">
        <v>0.6909999999999999</v>
      </c>
      <c r="W23" s="4">
        <v>0.658</v>
      </c>
      <c r="X23" s="4">
        <v>0.45</v>
      </c>
      <c r="Y23" s="4">
        <v>0.3435</v>
      </c>
      <c r="Z23" s="4">
        <v>0.358</v>
      </c>
    </row>
    <row r="24" spans="2:26">
      <c r="B24" s="3">
        <v>18</v>
      </c>
      <c r="C24" s="4">
        <v>0.3565</v>
      </c>
      <c r="D24" s="4">
        <v>0.3555</v>
      </c>
      <c r="E24" s="4">
        <v>0.339</v>
      </c>
      <c r="F24" s="4">
        <v>0.3395</v>
      </c>
      <c r="G24" s="4">
        <v>0.365</v>
      </c>
      <c r="H24" s="4">
        <v>0.407</v>
      </c>
      <c r="I24" s="4">
        <v>0.8045</v>
      </c>
      <c r="J24" s="4">
        <v>1.012</v>
      </c>
      <c r="K24" s="4">
        <v>1.157</v>
      </c>
      <c r="L24" s="4">
        <v>1.297</v>
      </c>
      <c r="M24" s="4">
        <v>1.3515</v>
      </c>
      <c r="N24" s="4">
        <v>1.303</v>
      </c>
      <c r="O24" s="4">
        <v>1.0645</v>
      </c>
      <c r="P24" s="4">
        <v>0.8995</v>
      </c>
      <c r="Q24" s="4">
        <v>0.9235</v>
      </c>
      <c r="R24" s="4">
        <v>0.717</v>
      </c>
      <c r="S24" s="4">
        <v>0.719</v>
      </c>
      <c r="T24" s="4">
        <v>0.7775</v>
      </c>
      <c r="U24" s="4">
        <v>0.783</v>
      </c>
      <c r="V24" s="4">
        <v>0.7514999999999999</v>
      </c>
      <c r="W24" s="4">
        <v>0.7745</v>
      </c>
      <c r="X24" s="4">
        <v>0.7215</v>
      </c>
      <c r="Y24" s="4">
        <v>0.613</v>
      </c>
      <c r="Z24" s="4">
        <v>0.5665</v>
      </c>
    </row>
    <row r="25" spans="2:26">
      <c r="B25" s="3">
        <v>19</v>
      </c>
      <c r="C25" s="4">
        <v>0.541</v>
      </c>
      <c r="D25" s="4">
        <v>0.596</v>
      </c>
      <c r="E25" s="4">
        <v>0.6865</v>
      </c>
      <c r="F25" s="4">
        <v>0.661</v>
      </c>
      <c r="G25" s="4">
        <v>0.6455</v>
      </c>
      <c r="H25" s="4">
        <v>0.635</v>
      </c>
      <c r="I25" s="4">
        <v>0.7255</v>
      </c>
      <c r="J25" s="4">
        <v>0.752</v>
      </c>
      <c r="K25" s="4">
        <v>0.824</v>
      </c>
      <c r="L25" s="4">
        <v>0.899</v>
      </c>
      <c r="M25" s="4">
        <v>0.8875</v>
      </c>
      <c r="N25" s="4">
        <v>0.821</v>
      </c>
      <c r="O25" s="4">
        <v>0.8175</v>
      </c>
      <c r="P25" s="4">
        <v>0.7145</v>
      </c>
      <c r="Q25" s="4">
        <v>0.676</v>
      </c>
      <c r="R25" s="4">
        <v>0.652</v>
      </c>
      <c r="S25" s="4">
        <v>0.7605</v>
      </c>
      <c r="T25" s="4">
        <v>0.7205</v>
      </c>
      <c r="U25" s="4">
        <v>0.718</v>
      </c>
      <c r="V25" s="4">
        <v>0.707</v>
      </c>
      <c r="W25" s="4">
        <v>0.6605</v>
      </c>
      <c r="X25" s="4">
        <v>0.473</v>
      </c>
      <c r="Y25" s="4">
        <v>0.414</v>
      </c>
      <c r="Z25" s="4">
        <v>0.3705</v>
      </c>
    </row>
    <row r="26" spans="2:26">
      <c r="B26" s="3">
        <v>20</v>
      </c>
      <c r="C26" s="4">
        <v>0.388</v>
      </c>
      <c r="D26" s="4">
        <v>0.372</v>
      </c>
      <c r="E26" s="4">
        <v>0.4305</v>
      </c>
      <c r="F26" s="4">
        <v>0.448</v>
      </c>
      <c r="G26" s="4">
        <v>0.464</v>
      </c>
      <c r="H26" s="4">
        <v>0.4755</v>
      </c>
      <c r="I26" s="4">
        <v>0.8205</v>
      </c>
      <c r="J26" s="4">
        <v>0.9755</v>
      </c>
      <c r="K26" s="4">
        <v>1.0755</v>
      </c>
      <c r="L26" s="4">
        <v>1.2015</v>
      </c>
      <c r="M26" s="4">
        <v>1.2555</v>
      </c>
      <c r="N26" s="4">
        <v>1.273</v>
      </c>
      <c r="O26" s="4">
        <v>1.287</v>
      </c>
      <c r="P26" s="4">
        <v>1.3685</v>
      </c>
      <c r="Q26" s="4">
        <v>1.0625</v>
      </c>
      <c r="R26" s="4">
        <v>0.763</v>
      </c>
      <c r="S26" s="4">
        <v>0.8555</v>
      </c>
      <c r="T26" s="4">
        <v>0.8255</v>
      </c>
      <c r="U26" s="4">
        <v>0.8055</v>
      </c>
      <c r="V26" s="4">
        <v>0.7915</v>
      </c>
      <c r="W26" s="4">
        <v>0.733</v>
      </c>
      <c r="X26" s="4">
        <v>0.4865</v>
      </c>
      <c r="Y26" s="4">
        <v>0.3595</v>
      </c>
      <c r="Z26" s="4">
        <v>0.356</v>
      </c>
    </row>
    <row r="27" spans="2:26">
      <c r="B27" s="3">
        <v>21</v>
      </c>
      <c r="C27" s="4">
        <v>0.3665</v>
      </c>
      <c r="D27" s="4">
        <v>0.3445</v>
      </c>
      <c r="E27" s="4">
        <v>0.358</v>
      </c>
      <c r="F27" s="4">
        <v>0.3415</v>
      </c>
      <c r="G27" s="4">
        <v>0.355</v>
      </c>
      <c r="H27" s="4">
        <v>0.4065</v>
      </c>
      <c r="I27" s="4">
        <v>0.641</v>
      </c>
      <c r="J27" s="4">
        <v>0.8120000000000001</v>
      </c>
      <c r="K27" s="4">
        <v>0.9045</v>
      </c>
      <c r="L27" s="4">
        <v>0.9425</v>
      </c>
      <c r="M27" s="4">
        <v>0.9085</v>
      </c>
      <c r="N27" s="4">
        <v>0.826</v>
      </c>
      <c r="O27" s="4">
        <v>0.802</v>
      </c>
      <c r="P27" s="4">
        <v>0.777</v>
      </c>
      <c r="Q27" s="4">
        <v>0.7345</v>
      </c>
      <c r="R27" s="4">
        <v>0.703</v>
      </c>
      <c r="S27" s="4">
        <v>0.612</v>
      </c>
      <c r="T27" s="4">
        <v>0.638</v>
      </c>
      <c r="U27" s="4">
        <v>0.6965</v>
      </c>
      <c r="V27" s="4">
        <v>0.799</v>
      </c>
      <c r="W27" s="4">
        <v>0.744</v>
      </c>
      <c r="X27" s="4">
        <v>0.523</v>
      </c>
      <c r="Y27" s="4">
        <v>0.35</v>
      </c>
      <c r="Z27" s="4">
        <v>0.3365</v>
      </c>
    </row>
    <row r="28" spans="2:26">
      <c r="B28" s="3">
        <v>22</v>
      </c>
      <c r="C28" s="4">
        <v>0.3125</v>
      </c>
      <c r="D28" s="4">
        <v>0.313</v>
      </c>
      <c r="E28" s="4">
        <v>0.3095</v>
      </c>
      <c r="F28" s="4">
        <v>0.3285</v>
      </c>
      <c r="G28" s="4">
        <v>0.313</v>
      </c>
      <c r="H28" s="4">
        <v>0.4325</v>
      </c>
      <c r="I28" s="4">
        <v>0.7775</v>
      </c>
      <c r="J28" s="4">
        <v>0.978</v>
      </c>
      <c r="K28" s="4">
        <v>1.213</v>
      </c>
      <c r="L28" s="4">
        <v>1.212</v>
      </c>
      <c r="M28" s="4">
        <v>1.31</v>
      </c>
      <c r="N28" s="4">
        <v>1.395</v>
      </c>
      <c r="O28" s="4">
        <v>1.325</v>
      </c>
      <c r="P28" s="4">
        <v>1.0775</v>
      </c>
      <c r="Q28" s="4">
        <v>0.82</v>
      </c>
      <c r="R28" s="4">
        <v>0.83</v>
      </c>
      <c r="S28" s="4">
        <v>0.634</v>
      </c>
      <c r="T28" s="4">
        <v>0.604</v>
      </c>
      <c r="U28" s="4">
        <v>0.708</v>
      </c>
      <c r="V28" s="4">
        <v>0.7795</v>
      </c>
      <c r="W28" s="4">
        <v>0.73</v>
      </c>
      <c r="X28" s="4">
        <v>0.518</v>
      </c>
      <c r="Y28" s="4">
        <v>0.3995</v>
      </c>
      <c r="Z28" s="4">
        <v>0.4245</v>
      </c>
    </row>
    <row r="29" spans="2:26">
      <c r="B29" s="3">
        <v>23</v>
      </c>
      <c r="C29" s="4">
        <v>0.3755</v>
      </c>
      <c r="D29" s="4">
        <v>0.373</v>
      </c>
      <c r="E29" s="4">
        <v>0.3715</v>
      </c>
      <c r="F29" s="4">
        <v>0.366</v>
      </c>
      <c r="G29" s="4">
        <v>0.3735</v>
      </c>
      <c r="H29" s="4">
        <v>0.377</v>
      </c>
      <c r="I29" s="4">
        <v>0.369</v>
      </c>
      <c r="J29" s="4">
        <v>0.4325</v>
      </c>
      <c r="K29" s="4">
        <v>0.5525</v>
      </c>
      <c r="L29" s="4">
        <v>0.5565</v>
      </c>
      <c r="M29" s="4">
        <v>0.403</v>
      </c>
      <c r="N29" s="4">
        <v>0</v>
      </c>
      <c r="O29" s="4">
        <v>0</v>
      </c>
      <c r="P29" s="4">
        <v>0.766</v>
      </c>
      <c r="Q29" s="4">
        <v>0.9065</v>
      </c>
      <c r="R29" s="4">
        <v>0.95</v>
      </c>
      <c r="S29" s="4">
        <v>0.9425</v>
      </c>
      <c r="T29" s="4">
        <v>0.843</v>
      </c>
      <c r="U29" s="4">
        <v>0.846</v>
      </c>
      <c r="V29" s="4">
        <v>0.9425</v>
      </c>
      <c r="W29" s="4">
        <v>0.9065</v>
      </c>
      <c r="X29" s="4">
        <v>0.868</v>
      </c>
      <c r="Y29" s="4">
        <v>0.9175</v>
      </c>
      <c r="Z29" s="4">
        <v>0.916</v>
      </c>
    </row>
    <row r="30" spans="2:26">
      <c r="B30" s="3">
        <v>24</v>
      </c>
      <c r="C30" s="4">
        <v>0.929</v>
      </c>
      <c r="D30" s="4">
        <v>0.9455</v>
      </c>
      <c r="E30" s="4">
        <v>0.952</v>
      </c>
      <c r="F30" s="4">
        <v>0.8925</v>
      </c>
      <c r="G30" s="4">
        <v>0.9175</v>
      </c>
      <c r="H30" s="4">
        <v>0.861</v>
      </c>
      <c r="I30" s="4">
        <v>1.073</v>
      </c>
      <c r="J30" s="4">
        <v>1.2735</v>
      </c>
      <c r="K30" s="4">
        <v>1.238</v>
      </c>
      <c r="L30" s="4">
        <v>1.4015</v>
      </c>
      <c r="M30" s="4">
        <v>1.5725</v>
      </c>
      <c r="N30" s="4">
        <v>1.7225</v>
      </c>
      <c r="O30" s="4">
        <v>1.5805</v>
      </c>
      <c r="P30" s="4">
        <v>1.2865</v>
      </c>
      <c r="Q30" s="4">
        <v>1.057</v>
      </c>
      <c r="R30" s="4">
        <v>1.0435</v>
      </c>
      <c r="S30" s="4">
        <v>1.0815</v>
      </c>
      <c r="T30" s="4">
        <v>1.0255</v>
      </c>
      <c r="U30" s="4">
        <v>1.114</v>
      </c>
      <c r="V30" s="4">
        <v>1.0275</v>
      </c>
      <c r="W30" s="4">
        <v>0.9885</v>
      </c>
      <c r="X30" s="4">
        <v>0.787</v>
      </c>
      <c r="Y30" s="4">
        <v>0.677</v>
      </c>
      <c r="Z30" s="4">
        <v>0.6245000000000001</v>
      </c>
    </row>
    <row r="31" spans="2:26">
      <c r="B31" s="3">
        <v>25</v>
      </c>
      <c r="C31" s="4">
        <v>0.5975</v>
      </c>
      <c r="D31" s="4">
        <v>0.6065</v>
      </c>
      <c r="E31" s="4">
        <v>0.5685</v>
      </c>
      <c r="F31" s="4">
        <v>0.5605</v>
      </c>
      <c r="G31" s="4">
        <v>0.5679999999999999</v>
      </c>
      <c r="H31" s="4">
        <v>0.6254999999999999</v>
      </c>
      <c r="I31" s="4">
        <v>0.7575</v>
      </c>
      <c r="J31" s="4">
        <v>1.1445</v>
      </c>
      <c r="K31" s="4">
        <v>1.125</v>
      </c>
      <c r="L31" s="4">
        <v>1.1035</v>
      </c>
      <c r="M31" s="4">
        <v>1.0975</v>
      </c>
      <c r="N31" s="4">
        <v>1.0855</v>
      </c>
      <c r="O31" s="4">
        <v>1.0455</v>
      </c>
      <c r="P31" s="4">
        <v>0.9965000000000001</v>
      </c>
      <c r="Q31" s="4">
        <v>1.02</v>
      </c>
      <c r="R31" s="4">
        <v>0.9775</v>
      </c>
      <c r="S31" s="4">
        <v>1.0075</v>
      </c>
      <c r="T31" s="4">
        <v>0.961</v>
      </c>
      <c r="U31" s="4">
        <v>0.9185</v>
      </c>
      <c r="V31" s="4">
        <v>0.8815</v>
      </c>
      <c r="W31" s="4">
        <v>0.8595</v>
      </c>
      <c r="X31" s="4">
        <v>0.608</v>
      </c>
      <c r="Y31" s="4">
        <v>0.539</v>
      </c>
      <c r="Z31" s="4">
        <v>0.5245</v>
      </c>
    </row>
    <row r="32" spans="2:26">
      <c r="B32" s="3">
        <v>26</v>
      </c>
      <c r="C32" s="4">
        <v>0.522</v>
      </c>
      <c r="D32" s="4">
        <v>0.54</v>
      </c>
      <c r="E32" s="4">
        <v>0.525</v>
      </c>
      <c r="F32" s="4">
        <v>0.5205</v>
      </c>
      <c r="G32" s="4">
        <v>0.546</v>
      </c>
      <c r="H32" s="4">
        <v>0.6105</v>
      </c>
      <c r="I32" s="4">
        <v>1.0295</v>
      </c>
      <c r="J32" s="4">
        <v>1.18</v>
      </c>
      <c r="K32" s="4">
        <v>1.3</v>
      </c>
      <c r="L32" s="4">
        <v>1.5625</v>
      </c>
      <c r="M32" s="4">
        <v>1.525</v>
      </c>
      <c r="N32" s="4">
        <v>1.669</v>
      </c>
      <c r="O32" s="4">
        <v>1.5505</v>
      </c>
      <c r="P32" s="4">
        <v>1.248</v>
      </c>
      <c r="Q32" s="4">
        <v>1.176</v>
      </c>
      <c r="R32" s="4">
        <v>1.162</v>
      </c>
      <c r="S32" s="4">
        <v>1.169</v>
      </c>
      <c r="T32" s="4">
        <v>1.057</v>
      </c>
      <c r="U32" s="4">
        <v>0.997</v>
      </c>
      <c r="V32" s="4">
        <v>0.9065</v>
      </c>
      <c r="W32" s="4">
        <v>0.879</v>
      </c>
      <c r="X32" s="4">
        <v>0.6830000000000001</v>
      </c>
      <c r="Y32" s="4">
        <v>0.6879999999999999</v>
      </c>
      <c r="Z32" s="4">
        <v>0.6415</v>
      </c>
    </row>
    <row r="33" spans="1:26">
      <c r="B33" s="3">
        <v>27</v>
      </c>
      <c r="C33" s="4">
        <v>0.6425</v>
      </c>
      <c r="D33" s="4">
        <v>0.6215000000000001</v>
      </c>
      <c r="E33" s="4">
        <v>0.6185</v>
      </c>
      <c r="F33" s="4">
        <v>0.635</v>
      </c>
      <c r="G33" s="4">
        <v>0.6095</v>
      </c>
      <c r="H33" s="4">
        <v>0.6425</v>
      </c>
      <c r="I33" s="4">
        <v>0.9655</v>
      </c>
      <c r="J33" s="4">
        <v>1.194</v>
      </c>
      <c r="K33" s="4">
        <v>1.1995</v>
      </c>
      <c r="L33" s="4">
        <v>1.277</v>
      </c>
      <c r="M33" s="4">
        <v>1.3375</v>
      </c>
      <c r="N33" s="4">
        <v>1.2965</v>
      </c>
      <c r="O33" s="4">
        <v>1.211</v>
      </c>
      <c r="P33" s="4">
        <v>1.1095</v>
      </c>
      <c r="Q33" s="4">
        <v>1.0625</v>
      </c>
      <c r="R33" s="4">
        <v>1.0495</v>
      </c>
      <c r="S33" s="4">
        <v>1.0265</v>
      </c>
      <c r="T33" s="4">
        <v>0.972</v>
      </c>
      <c r="U33" s="4">
        <v>1.0095</v>
      </c>
      <c r="V33" s="4">
        <v>1.0655</v>
      </c>
      <c r="W33" s="4">
        <v>0.978</v>
      </c>
      <c r="X33" s="4">
        <v>0.828</v>
      </c>
      <c r="Y33" s="4">
        <v>0.6805</v>
      </c>
      <c r="Z33" s="4">
        <v>0.6105</v>
      </c>
    </row>
    <row r="34" spans="1:26">
      <c r="B34" s="3">
        <v>28</v>
      </c>
      <c r="C34" s="4">
        <v>0.6035</v>
      </c>
      <c r="D34" s="4">
        <v>0.619</v>
      </c>
      <c r="E34" s="4">
        <v>0.6045</v>
      </c>
      <c r="F34" s="4">
        <v>0.58</v>
      </c>
      <c r="G34" s="4">
        <v>0.6005</v>
      </c>
      <c r="H34" s="4">
        <v>0.726</v>
      </c>
      <c r="I34" s="4">
        <v>1.1335</v>
      </c>
      <c r="J34" s="4">
        <v>1.2775</v>
      </c>
      <c r="K34" s="4">
        <v>1.5615</v>
      </c>
      <c r="L34" s="4">
        <v>1.645</v>
      </c>
      <c r="M34" s="4">
        <v>1.622</v>
      </c>
      <c r="N34" s="4">
        <v>1.6565</v>
      </c>
      <c r="O34" s="4">
        <v>1.6305</v>
      </c>
      <c r="P34" s="4">
        <v>1.233</v>
      </c>
      <c r="Q34" s="4">
        <v>1.2175</v>
      </c>
      <c r="R34" s="4">
        <v>1.175</v>
      </c>
      <c r="S34" s="4">
        <v>1.0855</v>
      </c>
      <c r="T34" s="4">
        <v>1.047</v>
      </c>
      <c r="U34" s="4">
        <v>1.016</v>
      </c>
      <c r="V34" s="4">
        <v>1.0415</v>
      </c>
      <c r="W34" s="4">
        <v>1.0315</v>
      </c>
      <c r="X34" s="4">
        <v>1.0455</v>
      </c>
      <c r="Y34" s="4">
        <v>1.0385</v>
      </c>
      <c r="Z34" s="4">
        <v>0.987</v>
      </c>
    </row>
    <row r="35" spans="1:26">
      <c r="B35" s="3">
        <v>29</v>
      </c>
      <c r="C35" s="4">
        <v>0.968</v>
      </c>
      <c r="D35" s="4">
        <v>0.997</v>
      </c>
      <c r="E35" s="4">
        <v>1.042</v>
      </c>
      <c r="F35" s="4">
        <v>1.03</v>
      </c>
      <c r="G35" s="4">
        <v>1.0065</v>
      </c>
      <c r="H35" s="4">
        <v>1.0015</v>
      </c>
      <c r="I35" s="4">
        <v>0.928</v>
      </c>
      <c r="J35" s="4">
        <v>0.984</v>
      </c>
      <c r="K35" s="4">
        <v>1.1675</v>
      </c>
      <c r="L35" s="4">
        <v>1.225</v>
      </c>
      <c r="M35" s="4">
        <v>1.1945</v>
      </c>
      <c r="N35" s="4">
        <v>1.121</v>
      </c>
      <c r="O35" s="4">
        <v>1.149</v>
      </c>
      <c r="P35" s="4">
        <v>1.119</v>
      </c>
      <c r="Q35" s="4">
        <v>1.128</v>
      </c>
      <c r="R35" s="4">
        <v>1.1185</v>
      </c>
      <c r="S35" s="4">
        <v>1.0915</v>
      </c>
      <c r="T35" s="4">
        <v>1.064</v>
      </c>
      <c r="U35" s="4">
        <v>1.0185</v>
      </c>
      <c r="V35" s="4">
        <v>0.971</v>
      </c>
      <c r="W35" s="4">
        <v>1.016</v>
      </c>
      <c r="X35" s="4">
        <v>0.795</v>
      </c>
      <c r="Y35" s="4">
        <v>0.594</v>
      </c>
      <c r="Z35" s="4">
        <v>0.543</v>
      </c>
    </row>
    <row r="36" spans="1:26">
      <c r="B36" s="3">
        <v>30</v>
      </c>
      <c r="C36" s="4">
        <v>0.5435</v>
      </c>
      <c r="D36" s="4">
        <v>0.575</v>
      </c>
      <c r="E36" s="4">
        <v>0.5755</v>
      </c>
      <c r="F36" s="4">
        <v>0.5925</v>
      </c>
      <c r="G36" s="4">
        <v>0.5735</v>
      </c>
      <c r="H36" s="4">
        <v>0.678</v>
      </c>
      <c r="I36" s="4">
        <v>1.0415</v>
      </c>
      <c r="J36" s="4">
        <v>1.264</v>
      </c>
      <c r="K36" s="4">
        <v>1.5155</v>
      </c>
      <c r="L36" s="4">
        <v>1.507</v>
      </c>
      <c r="M36" s="4">
        <v>1.5075</v>
      </c>
      <c r="N36" s="4">
        <v>1.5575</v>
      </c>
      <c r="O36" s="4">
        <v>1.552</v>
      </c>
      <c r="P36" s="4">
        <v>1.3155</v>
      </c>
      <c r="Q36" s="4">
        <v>1.1795</v>
      </c>
      <c r="R36" s="4">
        <v>1.165</v>
      </c>
      <c r="S36" s="4">
        <v>1.1005</v>
      </c>
      <c r="T36" s="4">
        <v>1.0775</v>
      </c>
      <c r="U36" s="4">
        <v>1.0545</v>
      </c>
      <c r="V36" s="4">
        <v>1.019</v>
      </c>
      <c r="W36" s="4">
        <v>0.982</v>
      </c>
      <c r="X36" s="4">
        <v>0.706</v>
      </c>
      <c r="Y36" s="4">
        <v>0.631</v>
      </c>
      <c r="Z36" s="4">
        <v>0.5975</v>
      </c>
    </row>
    <row r="37" spans="1:26">
      <c r="B37" s="3">
        <v>31</v>
      </c>
      <c r="C37" s="4">
        <v>0.5965</v>
      </c>
      <c r="D37" s="4">
        <v>0.6045</v>
      </c>
      <c r="E37" s="4">
        <v>0.594</v>
      </c>
      <c r="F37" s="4">
        <v>0.5985</v>
      </c>
      <c r="G37" s="4">
        <v>0.622</v>
      </c>
      <c r="H37" s="4">
        <v>0.6835</v>
      </c>
      <c r="I37" s="4">
        <v>0.8205</v>
      </c>
      <c r="J37" s="4">
        <v>0.9145</v>
      </c>
      <c r="K37" s="4">
        <v>1.088</v>
      </c>
      <c r="L37" s="4">
        <v>1.077</v>
      </c>
      <c r="M37" s="4">
        <v>1.21</v>
      </c>
      <c r="N37" s="4">
        <v>1.2085</v>
      </c>
      <c r="O37" s="4">
        <v>1.2325</v>
      </c>
      <c r="P37" s="4">
        <v>1.122</v>
      </c>
      <c r="Q37" s="4">
        <v>1.146</v>
      </c>
      <c r="R37" s="4">
        <v>1.141</v>
      </c>
      <c r="S37" s="4">
        <v>1.072</v>
      </c>
      <c r="T37" s="4">
        <v>0.981</v>
      </c>
      <c r="U37" s="4">
        <v>0.9485</v>
      </c>
      <c r="V37" s="4">
        <v>0.931</v>
      </c>
      <c r="W37" s="4">
        <v>0.851</v>
      </c>
      <c r="X37" s="4">
        <v>0.6945</v>
      </c>
      <c r="Y37" s="4">
        <v>0.6125</v>
      </c>
      <c r="Z37" s="4">
        <v>0.547</v>
      </c>
    </row>
    <row r="38" spans="1:26">
      <c r="Y38" s="5" t="s">
        <v>31</v>
      </c>
      <c r="Z38" s="6">
        <v>63746.16</v>
      </c>
    </row>
    <row r="39" spans="1:26">
      <c r="A39" t="s">
        <v>2</v>
      </c>
      <c r="B39" s="2" t="s">
        <v>32</v>
      </c>
    </row>
    <row r="40" spans="1:26">
      <c r="A40" t="s">
        <v>4</v>
      </c>
      <c r="B40" s="1">
        <v>120</v>
      </c>
    </row>
    <row r="41" spans="1:26">
      <c r="B41" s="3">
        <v>1</v>
      </c>
      <c r="C41" s="4">
        <v>0.7145</v>
      </c>
      <c r="D41" s="4">
        <v>0.7135</v>
      </c>
      <c r="E41" s="4">
        <v>0.7585</v>
      </c>
      <c r="F41" s="4">
        <v>0.725</v>
      </c>
      <c r="G41" s="4">
        <v>0.717</v>
      </c>
      <c r="H41" s="4">
        <v>0.7355</v>
      </c>
      <c r="I41" s="4">
        <v>0.71</v>
      </c>
      <c r="J41" s="4">
        <v>0.745</v>
      </c>
      <c r="K41" s="4">
        <v>0.7335</v>
      </c>
      <c r="L41" s="4">
        <v>0.725</v>
      </c>
      <c r="M41" s="4">
        <v>0.7675</v>
      </c>
      <c r="N41" s="4">
        <v>0.758</v>
      </c>
      <c r="O41" s="4">
        <v>0.7495000000000001</v>
      </c>
      <c r="P41" s="4">
        <v>0.7315</v>
      </c>
      <c r="Q41" s="4">
        <v>0.744</v>
      </c>
      <c r="R41" s="4">
        <v>0.7455000000000001</v>
      </c>
      <c r="S41" s="4">
        <v>0.7575</v>
      </c>
      <c r="T41" s="4">
        <v>0.7755</v>
      </c>
      <c r="U41" s="4">
        <v>0.7554999999999999</v>
      </c>
      <c r="V41" s="4">
        <v>0.758</v>
      </c>
      <c r="W41" s="4">
        <v>0.747</v>
      </c>
      <c r="X41" s="4">
        <v>0.7465000000000001</v>
      </c>
      <c r="Y41" s="4">
        <v>0.7565</v>
      </c>
      <c r="Z41" s="4">
        <v>0.7315</v>
      </c>
    </row>
    <row r="42" spans="1:26">
      <c r="B42" s="3">
        <v>2</v>
      </c>
      <c r="C42" s="4">
        <v>0.713</v>
      </c>
      <c r="D42" s="4">
        <v>0.718</v>
      </c>
      <c r="E42" s="4">
        <v>0.72</v>
      </c>
      <c r="F42" s="4">
        <v>0.763</v>
      </c>
      <c r="G42" s="4">
        <v>0.7255</v>
      </c>
      <c r="H42" s="4">
        <v>0.739</v>
      </c>
      <c r="I42" s="4">
        <v>0.7265</v>
      </c>
      <c r="J42" s="4">
        <v>0.7195</v>
      </c>
      <c r="K42" s="4">
        <v>0.767</v>
      </c>
      <c r="L42" s="4">
        <v>0.7455000000000001</v>
      </c>
      <c r="M42" s="4">
        <v>0.7445000000000001</v>
      </c>
      <c r="N42" s="4">
        <v>0.743</v>
      </c>
      <c r="O42" s="4">
        <v>0.7035</v>
      </c>
      <c r="P42" s="4">
        <v>0.7345</v>
      </c>
      <c r="Q42" s="4">
        <v>0.741</v>
      </c>
      <c r="R42" s="4">
        <v>0.7425</v>
      </c>
      <c r="S42" s="4">
        <v>0.7655</v>
      </c>
      <c r="T42" s="4">
        <v>0.7685</v>
      </c>
      <c r="U42" s="4">
        <v>0.7835</v>
      </c>
      <c r="V42" s="4">
        <v>0.7795</v>
      </c>
      <c r="W42" s="4">
        <v>0.743</v>
      </c>
      <c r="X42" s="4">
        <v>0.7495000000000001</v>
      </c>
      <c r="Y42" s="4">
        <v>0.761</v>
      </c>
      <c r="Z42" s="4">
        <v>0.767</v>
      </c>
    </row>
    <row r="43" spans="1:26">
      <c r="B43" s="3">
        <v>3</v>
      </c>
      <c r="C43" s="4">
        <v>0.7465000000000001</v>
      </c>
      <c r="D43" s="4">
        <v>0.751</v>
      </c>
      <c r="E43" s="4">
        <v>0.7435</v>
      </c>
      <c r="F43" s="4">
        <v>0.7325</v>
      </c>
      <c r="G43" s="4">
        <v>0.7475000000000001</v>
      </c>
      <c r="H43" s="4">
        <v>0.7075</v>
      </c>
      <c r="I43" s="4">
        <v>0.773</v>
      </c>
      <c r="J43" s="4">
        <v>0.8145</v>
      </c>
      <c r="K43" s="4">
        <v>0.8355</v>
      </c>
      <c r="L43" s="4">
        <v>0.8545</v>
      </c>
      <c r="M43" s="4">
        <v>0.8495</v>
      </c>
      <c r="N43" s="4">
        <v>0.8855</v>
      </c>
      <c r="O43" s="4">
        <v>0.852</v>
      </c>
      <c r="P43" s="4">
        <v>0.891</v>
      </c>
      <c r="Q43" s="4">
        <v>0.843</v>
      </c>
      <c r="R43" s="4">
        <v>0.793</v>
      </c>
      <c r="S43" s="4">
        <v>0.8015</v>
      </c>
      <c r="T43" s="4">
        <v>0.7255</v>
      </c>
      <c r="U43" s="4">
        <v>0.7615</v>
      </c>
      <c r="V43" s="4">
        <v>0.802</v>
      </c>
      <c r="W43" s="4">
        <v>0.755</v>
      </c>
      <c r="X43" s="4">
        <v>0.758</v>
      </c>
      <c r="Y43" s="4">
        <v>0.779</v>
      </c>
      <c r="Z43" s="4">
        <v>0.7905</v>
      </c>
    </row>
    <row r="44" spans="1:26">
      <c r="B44" s="3">
        <v>4</v>
      </c>
      <c r="C44" s="4">
        <v>0.7675</v>
      </c>
      <c r="D44" s="4">
        <v>0.762</v>
      </c>
      <c r="E44" s="4">
        <v>0.7605</v>
      </c>
      <c r="F44" s="4">
        <v>0.781</v>
      </c>
      <c r="G44" s="4">
        <v>0.7875</v>
      </c>
      <c r="H44" s="4">
        <v>0.748</v>
      </c>
      <c r="I44" s="4">
        <v>0.8070000000000001</v>
      </c>
      <c r="J44" s="4">
        <v>0.8395</v>
      </c>
      <c r="K44" s="4">
        <v>0.827</v>
      </c>
      <c r="L44" s="4">
        <v>0.861</v>
      </c>
      <c r="M44" s="4">
        <v>0.9365</v>
      </c>
      <c r="N44" s="4">
        <v>0.8745000000000001</v>
      </c>
      <c r="O44" s="4">
        <v>0.899</v>
      </c>
      <c r="P44" s="4">
        <v>0.866</v>
      </c>
      <c r="Q44" s="4">
        <v>0.8855</v>
      </c>
      <c r="R44" s="4">
        <v>0.805</v>
      </c>
      <c r="S44" s="4">
        <v>0.776</v>
      </c>
      <c r="T44" s="4">
        <v>0.7475000000000001</v>
      </c>
      <c r="U44" s="4">
        <v>0.79</v>
      </c>
      <c r="V44" s="4">
        <v>0.772</v>
      </c>
      <c r="W44" s="4">
        <v>0.775</v>
      </c>
      <c r="X44" s="4">
        <v>0.7544999999999999</v>
      </c>
      <c r="Y44" s="4">
        <v>0.76</v>
      </c>
      <c r="Z44" s="4">
        <v>0.7665</v>
      </c>
    </row>
    <row r="45" spans="1:26">
      <c r="B45" s="3">
        <v>5</v>
      </c>
      <c r="C45" s="4">
        <v>0.786</v>
      </c>
      <c r="D45" s="4">
        <v>0.7795</v>
      </c>
      <c r="E45" s="4">
        <v>0.755</v>
      </c>
      <c r="F45" s="4">
        <v>0.782</v>
      </c>
      <c r="G45" s="4">
        <v>0.804</v>
      </c>
      <c r="H45" s="4">
        <v>0.791</v>
      </c>
      <c r="I45" s="4">
        <v>0.9565</v>
      </c>
      <c r="J45" s="4">
        <v>0.9835</v>
      </c>
      <c r="K45" s="4">
        <v>0.995</v>
      </c>
      <c r="L45" s="4">
        <v>1.011</v>
      </c>
      <c r="M45" s="4">
        <v>1.1005</v>
      </c>
      <c r="N45" s="4">
        <v>0.9885</v>
      </c>
      <c r="O45" s="4">
        <v>0.898</v>
      </c>
      <c r="P45" s="4">
        <v>0.8155</v>
      </c>
      <c r="Q45" s="4">
        <v>0.799</v>
      </c>
      <c r="R45" s="4">
        <v>0.8175</v>
      </c>
      <c r="S45" s="4">
        <v>0.8255</v>
      </c>
      <c r="T45" s="4">
        <v>0.785</v>
      </c>
      <c r="U45" s="4">
        <v>0.8155</v>
      </c>
      <c r="V45" s="4">
        <v>0.793</v>
      </c>
      <c r="W45" s="4">
        <v>0.839</v>
      </c>
      <c r="X45" s="4">
        <v>0.803</v>
      </c>
      <c r="Y45" s="4">
        <v>0.8185</v>
      </c>
      <c r="Z45" s="4">
        <v>0.793</v>
      </c>
    </row>
    <row r="46" spans="1:26">
      <c r="B46" s="3">
        <v>6</v>
      </c>
      <c r="C46" s="4">
        <v>0.806</v>
      </c>
      <c r="D46" s="4">
        <v>0.8125</v>
      </c>
      <c r="E46" s="4">
        <v>0.8305</v>
      </c>
      <c r="F46" s="4">
        <v>0.828</v>
      </c>
      <c r="G46" s="4">
        <v>0.8585</v>
      </c>
      <c r="H46" s="4">
        <v>0.821</v>
      </c>
      <c r="I46" s="4">
        <v>0.868</v>
      </c>
      <c r="J46" s="4">
        <v>0.916</v>
      </c>
      <c r="K46" s="4">
        <v>0.9225</v>
      </c>
      <c r="L46" s="4">
        <v>0.9745</v>
      </c>
      <c r="M46" s="4">
        <v>0.9975000000000001</v>
      </c>
      <c r="N46" s="4">
        <v>1.0275</v>
      </c>
      <c r="O46" s="4">
        <v>1.0295</v>
      </c>
      <c r="P46" s="4">
        <v>0.9429999999999999</v>
      </c>
      <c r="Q46" s="4">
        <v>0.914</v>
      </c>
      <c r="R46" s="4">
        <v>0.8325</v>
      </c>
      <c r="S46" s="4">
        <v>0.824</v>
      </c>
      <c r="T46" s="4">
        <v>0.7755</v>
      </c>
      <c r="U46" s="4">
        <v>0.7845</v>
      </c>
      <c r="V46" s="4">
        <v>0.767</v>
      </c>
      <c r="W46" s="4">
        <v>0.7805</v>
      </c>
      <c r="X46" s="4">
        <v>0.8015</v>
      </c>
      <c r="Y46" s="4">
        <v>0.804</v>
      </c>
      <c r="Z46" s="4">
        <v>0.7665</v>
      </c>
    </row>
    <row r="47" spans="1:26">
      <c r="B47" s="3">
        <v>7</v>
      </c>
      <c r="C47" s="4">
        <v>0.775</v>
      </c>
      <c r="D47" s="4">
        <v>0.765</v>
      </c>
      <c r="E47" s="4">
        <v>0.79</v>
      </c>
      <c r="F47" s="4">
        <v>0.775</v>
      </c>
      <c r="G47" s="4">
        <v>0.79</v>
      </c>
      <c r="H47" s="4">
        <v>0.7825</v>
      </c>
      <c r="I47" s="4">
        <v>0.8100000000000001</v>
      </c>
      <c r="J47" s="4">
        <v>0.8080000000000001</v>
      </c>
      <c r="K47" s="4">
        <v>0.7905</v>
      </c>
      <c r="L47" s="4">
        <v>0.8055</v>
      </c>
      <c r="M47" s="4">
        <v>0.8095</v>
      </c>
      <c r="N47" s="4">
        <v>0.8159999999999999</v>
      </c>
      <c r="O47" s="4">
        <v>0.857</v>
      </c>
      <c r="P47" s="4">
        <v>0.8175</v>
      </c>
      <c r="Q47" s="4">
        <v>0.7975</v>
      </c>
      <c r="R47" s="4">
        <v>0.793</v>
      </c>
      <c r="S47" s="4">
        <v>0.8295</v>
      </c>
      <c r="T47" s="4">
        <v>0.8085</v>
      </c>
      <c r="U47" s="4">
        <v>0.8115</v>
      </c>
      <c r="V47" s="4">
        <v>0.7895</v>
      </c>
      <c r="W47" s="4">
        <v>0.7965</v>
      </c>
      <c r="X47" s="4">
        <v>0.803</v>
      </c>
      <c r="Y47" s="4">
        <v>0.8080000000000001</v>
      </c>
      <c r="Z47" s="4">
        <v>0.763</v>
      </c>
    </row>
    <row r="48" spans="1:26">
      <c r="B48" s="3">
        <v>8</v>
      </c>
      <c r="C48" s="4">
        <v>0.7655</v>
      </c>
      <c r="D48" s="4">
        <v>0.798</v>
      </c>
      <c r="E48" s="4">
        <v>0.796</v>
      </c>
      <c r="F48" s="4">
        <v>0.837</v>
      </c>
      <c r="G48" s="4">
        <v>0.8195</v>
      </c>
      <c r="H48" s="4">
        <v>0.7985</v>
      </c>
      <c r="I48" s="4">
        <v>0.7855</v>
      </c>
      <c r="J48" s="4">
        <v>0.764</v>
      </c>
      <c r="K48" s="4">
        <v>0.8265</v>
      </c>
      <c r="L48" s="4">
        <v>0.853</v>
      </c>
      <c r="M48" s="4">
        <v>0.848</v>
      </c>
      <c r="N48" s="4">
        <v>0.82</v>
      </c>
      <c r="O48" s="4">
        <v>0.8615</v>
      </c>
      <c r="P48" s="4">
        <v>0.9409999999999999</v>
      </c>
      <c r="Q48" s="4">
        <v>1.059</v>
      </c>
      <c r="R48" s="4">
        <v>0.985</v>
      </c>
      <c r="S48" s="4">
        <v>0.9765</v>
      </c>
      <c r="T48" s="4">
        <v>0.958</v>
      </c>
      <c r="U48" s="4">
        <v>0.9495</v>
      </c>
      <c r="V48" s="4">
        <v>0.9409999999999999</v>
      </c>
      <c r="W48" s="4">
        <v>0.9395</v>
      </c>
      <c r="X48" s="4">
        <v>0.9595</v>
      </c>
      <c r="Y48" s="4">
        <v>0.9365</v>
      </c>
      <c r="Z48" s="4">
        <v>0.9095</v>
      </c>
    </row>
    <row r="49" spans="2:26">
      <c r="B49" s="3">
        <v>9</v>
      </c>
      <c r="C49" s="4">
        <v>0.885</v>
      </c>
      <c r="D49" s="4">
        <v>0.866</v>
      </c>
      <c r="E49" s="4">
        <v>0.8835</v>
      </c>
      <c r="F49" s="4">
        <v>0.878</v>
      </c>
      <c r="G49" s="4">
        <v>0.921</v>
      </c>
      <c r="H49" s="4">
        <v>0.896</v>
      </c>
      <c r="I49" s="4">
        <v>1.112</v>
      </c>
      <c r="J49" s="4">
        <v>1.2015</v>
      </c>
      <c r="K49" s="4">
        <v>1.4565</v>
      </c>
      <c r="L49" s="4">
        <v>1.4905</v>
      </c>
      <c r="M49" s="4">
        <v>1.7465</v>
      </c>
      <c r="N49" s="4">
        <v>1.7665</v>
      </c>
      <c r="O49" s="4">
        <v>1.9285</v>
      </c>
      <c r="P49" s="4">
        <v>1.8975</v>
      </c>
      <c r="Q49" s="4">
        <v>1.6895</v>
      </c>
      <c r="R49" s="4">
        <v>1.73</v>
      </c>
      <c r="S49" s="4">
        <v>1.683</v>
      </c>
      <c r="T49" s="4">
        <v>1.5725</v>
      </c>
      <c r="U49" s="4">
        <v>1.567</v>
      </c>
      <c r="V49" s="4">
        <v>1.46</v>
      </c>
      <c r="W49" s="4">
        <v>1.181</v>
      </c>
      <c r="X49" s="4">
        <v>1.0515</v>
      </c>
      <c r="Y49" s="4">
        <v>1.012</v>
      </c>
      <c r="Z49" s="4">
        <v>0.9925</v>
      </c>
    </row>
    <row r="50" spans="2:26">
      <c r="B50" s="3">
        <v>10</v>
      </c>
      <c r="C50" s="4">
        <v>0.9895</v>
      </c>
      <c r="D50" s="4">
        <v>0.9725</v>
      </c>
      <c r="E50" s="4">
        <v>0.9505</v>
      </c>
      <c r="F50" s="4">
        <v>0.9370000000000001</v>
      </c>
      <c r="G50" s="4">
        <v>0.9865</v>
      </c>
      <c r="H50" s="4">
        <v>1.0455</v>
      </c>
      <c r="I50" s="4">
        <v>1.424</v>
      </c>
      <c r="J50" s="4">
        <v>1.551</v>
      </c>
      <c r="K50" s="4">
        <v>1.679</v>
      </c>
      <c r="L50" s="4">
        <v>1.8355</v>
      </c>
      <c r="M50" s="4">
        <v>1.782</v>
      </c>
      <c r="N50" s="4">
        <v>1.771</v>
      </c>
      <c r="O50" s="4">
        <v>1.8045</v>
      </c>
      <c r="P50" s="4">
        <v>1.4385</v>
      </c>
      <c r="Q50" s="4">
        <v>1.3415</v>
      </c>
      <c r="R50" s="4">
        <v>1.55</v>
      </c>
      <c r="S50" s="4">
        <v>1.432</v>
      </c>
      <c r="T50" s="4">
        <v>1.53</v>
      </c>
      <c r="U50" s="4">
        <v>1.6435</v>
      </c>
      <c r="V50" s="4">
        <v>1.6725</v>
      </c>
      <c r="W50" s="4">
        <v>1.648</v>
      </c>
      <c r="X50" s="4">
        <v>1.282</v>
      </c>
      <c r="Y50" s="4">
        <v>1.2335</v>
      </c>
      <c r="Z50" s="4">
        <v>1.447</v>
      </c>
    </row>
    <row r="51" spans="2:26">
      <c r="B51" s="3">
        <v>11</v>
      </c>
      <c r="C51" s="4">
        <v>1.5735</v>
      </c>
      <c r="D51" s="4">
        <v>1.583</v>
      </c>
      <c r="E51" s="4">
        <v>1.535</v>
      </c>
      <c r="F51" s="4">
        <v>1.5475</v>
      </c>
      <c r="G51" s="4">
        <v>1.4665</v>
      </c>
      <c r="H51" s="4">
        <v>1.417</v>
      </c>
      <c r="I51" s="4">
        <v>1.6855</v>
      </c>
      <c r="J51" s="4">
        <v>1.7105</v>
      </c>
      <c r="K51" s="4">
        <v>1.7225</v>
      </c>
      <c r="L51" s="4">
        <v>1.717</v>
      </c>
      <c r="M51" s="4">
        <v>1.571</v>
      </c>
      <c r="N51" s="4">
        <v>1.4735</v>
      </c>
      <c r="O51" s="4">
        <v>1.768</v>
      </c>
      <c r="P51" s="4">
        <v>1.6555</v>
      </c>
      <c r="Q51" s="4">
        <v>1.6165</v>
      </c>
      <c r="R51" s="4">
        <v>1.5805</v>
      </c>
      <c r="S51" s="4">
        <v>1.502</v>
      </c>
      <c r="T51" s="4">
        <v>1.5725</v>
      </c>
      <c r="U51" s="4">
        <v>1.6705</v>
      </c>
      <c r="V51" s="4">
        <v>1.604</v>
      </c>
      <c r="W51" s="4">
        <v>1.257</v>
      </c>
      <c r="X51" s="4">
        <v>1.069</v>
      </c>
      <c r="Y51" s="4">
        <v>1.019</v>
      </c>
      <c r="Z51" s="4">
        <v>0.9475</v>
      </c>
    </row>
    <row r="52" spans="2:26">
      <c r="B52" s="3">
        <v>12</v>
      </c>
      <c r="C52" s="4">
        <v>0.9320000000000001</v>
      </c>
      <c r="D52" s="4">
        <v>0.9385</v>
      </c>
      <c r="E52" s="4">
        <v>0.9275</v>
      </c>
      <c r="F52" s="4">
        <v>0.9405</v>
      </c>
      <c r="G52" s="4">
        <v>0.9375</v>
      </c>
      <c r="H52" s="4">
        <v>1.0665</v>
      </c>
      <c r="I52" s="4">
        <v>1.2895</v>
      </c>
      <c r="J52" s="4">
        <v>1.291</v>
      </c>
      <c r="K52" s="4">
        <v>1.4275</v>
      </c>
      <c r="L52" s="4">
        <v>1.5145</v>
      </c>
      <c r="M52" s="4">
        <v>1.608</v>
      </c>
      <c r="N52" s="4">
        <v>1.66</v>
      </c>
      <c r="O52" s="4">
        <v>1.7235</v>
      </c>
      <c r="P52" s="4">
        <v>1.9295</v>
      </c>
      <c r="Q52" s="4">
        <v>1.8335</v>
      </c>
      <c r="R52" s="4">
        <v>1.826</v>
      </c>
      <c r="S52" s="4">
        <v>1.7695</v>
      </c>
      <c r="T52" s="4">
        <v>1.787</v>
      </c>
      <c r="U52" s="4">
        <v>1.7245</v>
      </c>
      <c r="V52" s="4">
        <v>1.679</v>
      </c>
      <c r="W52" s="4">
        <v>1.2985</v>
      </c>
      <c r="X52" s="4">
        <v>1.034</v>
      </c>
      <c r="Y52" s="4">
        <v>0.9945000000000001</v>
      </c>
      <c r="Z52" s="4">
        <v>0.9835</v>
      </c>
    </row>
    <row r="53" spans="2:26">
      <c r="B53" s="3">
        <v>13</v>
      </c>
      <c r="C53" s="4">
        <v>0.9625</v>
      </c>
      <c r="D53" s="4">
        <v>0.953</v>
      </c>
      <c r="E53" s="4">
        <v>0.952</v>
      </c>
      <c r="F53" s="4">
        <v>0.9445</v>
      </c>
      <c r="G53" s="4">
        <v>0.9389999999999999</v>
      </c>
      <c r="H53" s="4">
        <v>0.983</v>
      </c>
      <c r="I53" s="4">
        <v>1.2015</v>
      </c>
      <c r="J53" s="4">
        <v>1.3805</v>
      </c>
      <c r="K53" s="4">
        <v>1.438</v>
      </c>
      <c r="L53" s="4">
        <v>1.5245</v>
      </c>
      <c r="M53" s="4">
        <v>1.66</v>
      </c>
      <c r="N53" s="4">
        <v>1.6035</v>
      </c>
      <c r="O53" s="4">
        <v>1.653</v>
      </c>
      <c r="P53" s="4">
        <v>1.461</v>
      </c>
      <c r="Q53" s="4">
        <v>1.7185</v>
      </c>
      <c r="R53" s="4">
        <v>1.6985</v>
      </c>
      <c r="S53" s="4">
        <v>1.615</v>
      </c>
      <c r="T53" s="4">
        <v>1.626</v>
      </c>
      <c r="U53" s="4">
        <v>1.6265</v>
      </c>
      <c r="V53" s="4">
        <v>1.5655</v>
      </c>
      <c r="W53" s="4">
        <v>1.271</v>
      </c>
      <c r="X53" s="4">
        <v>1.0645</v>
      </c>
      <c r="Y53" s="4">
        <v>1.0225</v>
      </c>
      <c r="Z53" s="4">
        <v>0.9835</v>
      </c>
    </row>
    <row r="54" spans="2:26">
      <c r="B54" s="3">
        <v>14</v>
      </c>
      <c r="C54" s="4">
        <v>0.9605</v>
      </c>
      <c r="D54" s="4">
        <v>0.9495</v>
      </c>
      <c r="E54" s="4">
        <v>0.96</v>
      </c>
      <c r="F54" s="4">
        <v>0.9755</v>
      </c>
      <c r="G54" s="4">
        <v>0.9745</v>
      </c>
      <c r="H54" s="4">
        <v>1.079</v>
      </c>
      <c r="I54" s="4">
        <v>1.188</v>
      </c>
      <c r="J54" s="4">
        <v>1.2875</v>
      </c>
      <c r="K54" s="4">
        <v>1.442</v>
      </c>
      <c r="L54" s="4">
        <v>1.538</v>
      </c>
      <c r="M54" s="4">
        <v>1.5965</v>
      </c>
      <c r="N54" s="4">
        <v>1.6</v>
      </c>
      <c r="O54" s="4">
        <v>1.5855</v>
      </c>
      <c r="P54" s="4">
        <v>1.3995</v>
      </c>
      <c r="Q54" s="4">
        <v>1.6275</v>
      </c>
      <c r="R54" s="4">
        <v>1.6305</v>
      </c>
      <c r="S54" s="4">
        <v>1.634</v>
      </c>
      <c r="T54" s="4">
        <v>1.65</v>
      </c>
      <c r="U54" s="4">
        <v>1.6025</v>
      </c>
      <c r="V54" s="4">
        <v>1.547</v>
      </c>
      <c r="W54" s="4">
        <v>1.4885</v>
      </c>
      <c r="X54" s="4">
        <v>1.2135</v>
      </c>
      <c r="Y54" s="4">
        <v>0.999</v>
      </c>
      <c r="Z54" s="4">
        <v>0.9429999999999999</v>
      </c>
    </row>
    <row r="55" spans="2:26">
      <c r="B55" s="3">
        <v>15</v>
      </c>
      <c r="C55" s="4">
        <v>0.918</v>
      </c>
      <c r="D55" s="4">
        <v>0.9035</v>
      </c>
      <c r="E55" s="4">
        <v>0.9475</v>
      </c>
      <c r="F55" s="4">
        <v>0.9625</v>
      </c>
      <c r="G55" s="4">
        <v>0.9345</v>
      </c>
      <c r="H55" s="4">
        <v>0.944</v>
      </c>
      <c r="I55" s="4">
        <v>1.1355</v>
      </c>
      <c r="J55" s="4">
        <v>1.1655</v>
      </c>
      <c r="K55" s="4">
        <v>1.324</v>
      </c>
      <c r="L55" s="4">
        <v>1.5395</v>
      </c>
      <c r="M55" s="4">
        <v>1.7115</v>
      </c>
      <c r="N55" s="4">
        <v>1.975</v>
      </c>
      <c r="O55" s="4">
        <v>1.8785</v>
      </c>
      <c r="P55" s="4">
        <v>1.57</v>
      </c>
      <c r="Q55" s="4">
        <v>1.482</v>
      </c>
      <c r="R55" s="4">
        <v>1.694</v>
      </c>
      <c r="S55" s="4">
        <v>1.652</v>
      </c>
      <c r="T55" s="4">
        <v>1.6575</v>
      </c>
      <c r="U55" s="4">
        <v>1.673</v>
      </c>
      <c r="V55" s="4">
        <v>1.707</v>
      </c>
      <c r="W55" s="4">
        <v>1.57</v>
      </c>
      <c r="X55" s="4">
        <v>1.1715</v>
      </c>
      <c r="Y55" s="4">
        <v>1.227</v>
      </c>
      <c r="Z55" s="4">
        <v>1.3115</v>
      </c>
    </row>
    <row r="56" spans="2:26">
      <c r="B56" s="3">
        <v>16</v>
      </c>
      <c r="C56" s="4">
        <v>1.334</v>
      </c>
      <c r="D56" s="4">
        <v>1.493</v>
      </c>
      <c r="E56" s="4">
        <v>1.5435</v>
      </c>
      <c r="F56" s="4">
        <v>1.569</v>
      </c>
      <c r="G56" s="4">
        <v>1.429</v>
      </c>
      <c r="H56" s="4">
        <v>1.311</v>
      </c>
      <c r="I56" s="4">
        <v>1.36</v>
      </c>
      <c r="J56" s="4">
        <v>1.44</v>
      </c>
      <c r="K56" s="4">
        <v>1.67</v>
      </c>
      <c r="L56" s="4">
        <v>1.6745</v>
      </c>
      <c r="M56" s="4">
        <v>1.682</v>
      </c>
      <c r="N56" s="4">
        <v>1.706</v>
      </c>
      <c r="O56" s="4">
        <v>1.6475</v>
      </c>
      <c r="P56" s="4">
        <v>1.499</v>
      </c>
      <c r="Q56" s="4">
        <v>1.4715</v>
      </c>
      <c r="R56" s="4">
        <v>1.646</v>
      </c>
      <c r="S56" s="4">
        <v>1.5965</v>
      </c>
      <c r="T56" s="4">
        <v>1.5995</v>
      </c>
      <c r="U56" s="4">
        <v>1.6065</v>
      </c>
      <c r="V56" s="4">
        <v>1.6025</v>
      </c>
      <c r="W56" s="4">
        <v>1.173</v>
      </c>
      <c r="X56" s="4">
        <v>0.997</v>
      </c>
      <c r="Y56" s="4">
        <v>0.98</v>
      </c>
      <c r="Z56" s="4">
        <v>0.97</v>
      </c>
    </row>
    <row r="57" spans="2:26">
      <c r="B57" s="3">
        <v>17</v>
      </c>
      <c r="C57" s="4">
        <v>0.9645</v>
      </c>
      <c r="D57" s="4">
        <v>0.9525</v>
      </c>
      <c r="E57" s="4">
        <v>0.9515</v>
      </c>
      <c r="F57" s="4">
        <v>0.9515</v>
      </c>
      <c r="G57" s="4">
        <v>0.963</v>
      </c>
      <c r="H57" s="4">
        <v>1.058</v>
      </c>
      <c r="I57" s="4">
        <v>1.1045</v>
      </c>
      <c r="J57" s="4">
        <v>1.271</v>
      </c>
      <c r="K57" s="4">
        <v>1.413</v>
      </c>
      <c r="L57" s="4">
        <v>1.7395</v>
      </c>
      <c r="M57" s="4">
        <v>1.804</v>
      </c>
      <c r="N57" s="4">
        <v>1.6845</v>
      </c>
      <c r="O57" s="4">
        <v>1.585</v>
      </c>
      <c r="P57" s="4">
        <v>1.4335</v>
      </c>
      <c r="Q57" s="4">
        <v>1.4515</v>
      </c>
      <c r="R57" s="4">
        <v>1.659</v>
      </c>
      <c r="S57" s="4">
        <v>1.67</v>
      </c>
      <c r="T57" s="4">
        <v>1.621</v>
      </c>
      <c r="U57" s="4">
        <v>1.618</v>
      </c>
      <c r="V57" s="4">
        <v>1.622</v>
      </c>
      <c r="W57" s="4">
        <v>1.2785</v>
      </c>
      <c r="X57" s="4">
        <v>0.964</v>
      </c>
      <c r="Y57" s="4">
        <v>0.9395</v>
      </c>
      <c r="Z57" s="4">
        <v>0.9045</v>
      </c>
    </row>
    <row r="58" spans="2:26">
      <c r="B58" s="3">
        <v>18</v>
      </c>
      <c r="C58" s="4">
        <v>0.893</v>
      </c>
      <c r="D58" s="4">
        <v>0.9205</v>
      </c>
      <c r="E58" s="4">
        <v>0.8895</v>
      </c>
      <c r="F58" s="4">
        <v>0.8784999999999999</v>
      </c>
      <c r="G58" s="4">
        <v>0.862</v>
      </c>
      <c r="H58" s="4">
        <v>0.964</v>
      </c>
      <c r="I58" s="4">
        <v>1.156</v>
      </c>
      <c r="J58" s="4">
        <v>1.1865</v>
      </c>
      <c r="K58" s="4">
        <v>1.093</v>
      </c>
      <c r="L58" s="4">
        <v>1.182</v>
      </c>
      <c r="M58" s="4">
        <v>1.4805</v>
      </c>
      <c r="N58" s="4">
        <v>1.6025</v>
      </c>
      <c r="O58" s="4">
        <v>1.6025</v>
      </c>
      <c r="P58" s="4">
        <v>1.477</v>
      </c>
      <c r="Q58" s="4">
        <v>1.4735</v>
      </c>
      <c r="R58" s="4">
        <v>1.673</v>
      </c>
      <c r="S58" s="4">
        <v>1.673</v>
      </c>
      <c r="T58" s="4">
        <v>1.6515</v>
      </c>
      <c r="U58" s="4">
        <v>1.637</v>
      </c>
      <c r="V58" s="4">
        <v>1.6835</v>
      </c>
      <c r="W58" s="4">
        <v>1.5805</v>
      </c>
      <c r="X58" s="4">
        <v>1.1785</v>
      </c>
      <c r="Y58" s="4">
        <v>1.408</v>
      </c>
      <c r="Z58" s="4">
        <v>1.4915</v>
      </c>
    </row>
    <row r="59" spans="2:26">
      <c r="B59" s="3">
        <v>19</v>
      </c>
      <c r="C59" s="4">
        <v>1.5755</v>
      </c>
      <c r="D59" s="4">
        <v>1.6195</v>
      </c>
      <c r="E59" s="4">
        <v>1.574</v>
      </c>
      <c r="F59" s="4">
        <v>1.513</v>
      </c>
      <c r="G59" s="4">
        <v>1.3595</v>
      </c>
      <c r="H59" s="4">
        <v>1.329</v>
      </c>
      <c r="I59" s="4">
        <v>1.561</v>
      </c>
      <c r="J59" s="4">
        <v>1.667</v>
      </c>
      <c r="K59" s="4">
        <v>1.4955</v>
      </c>
      <c r="L59" s="4">
        <v>1.556</v>
      </c>
      <c r="M59" s="4">
        <v>1.7155</v>
      </c>
      <c r="N59" s="4">
        <v>1.7115</v>
      </c>
      <c r="O59" s="4">
        <v>1.6585</v>
      </c>
      <c r="P59" s="4">
        <v>1.429</v>
      </c>
      <c r="Q59" s="4">
        <v>1.4285</v>
      </c>
      <c r="R59" s="4">
        <v>1.5465</v>
      </c>
      <c r="S59" s="4">
        <v>1.6245</v>
      </c>
      <c r="T59" s="4">
        <v>1.5895</v>
      </c>
      <c r="U59" s="4">
        <v>1.635</v>
      </c>
      <c r="V59" s="4">
        <v>1.659</v>
      </c>
      <c r="W59" s="4">
        <v>1.2445</v>
      </c>
      <c r="X59" s="4">
        <v>0.958</v>
      </c>
      <c r="Y59" s="4">
        <v>0.93</v>
      </c>
      <c r="Z59" s="4">
        <v>0.895</v>
      </c>
    </row>
    <row r="60" spans="2:26">
      <c r="B60" s="3">
        <v>20</v>
      </c>
      <c r="C60" s="4">
        <v>0.877</v>
      </c>
      <c r="D60" s="4">
        <v>0.8895</v>
      </c>
      <c r="E60" s="4">
        <v>0.862</v>
      </c>
      <c r="F60" s="4">
        <v>0.86</v>
      </c>
      <c r="G60" s="4">
        <v>0.857</v>
      </c>
      <c r="H60" s="4">
        <v>0.888</v>
      </c>
      <c r="I60" s="4">
        <v>1.0275</v>
      </c>
      <c r="J60" s="4">
        <v>1.4135</v>
      </c>
      <c r="K60" s="4">
        <v>1.504</v>
      </c>
      <c r="L60" s="4">
        <v>1.701</v>
      </c>
      <c r="M60" s="4">
        <v>1.6555</v>
      </c>
      <c r="N60" s="4">
        <v>1.744</v>
      </c>
      <c r="O60" s="4">
        <v>1.786</v>
      </c>
      <c r="P60" s="4">
        <v>1.59</v>
      </c>
      <c r="Q60" s="4">
        <v>1.506</v>
      </c>
      <c r="R60" s="4">
        <v>1.697</v>
      </c>
      <c r="S60" s="4">
        <v>1.67</v>
      </c>
      <c r="T60" s="4">
        <v>1.604</v>
      </c>
      <c r="U60" s="4">
        <v>1.679</v>
      </c>
      <c r="V60" s="4">
        <v>1.663</v>
      </c>
      <c r="W60" s="4">
        <v>1.241</v>
      </c>
      <c r="X60" s="4">
        <v>1.0445</v>
      </c>
      <c r="Y60" s="4">
        <v>1.0535</v>
      </c>
      <c r="Z60" s="4">
        <v>1.008</v>
      </c>
    </row>
    <row r="61" spans="2:26">
      <c r="B61" s="3">
        <v>21</v>
      </c>
      <c r="C61" s="4">
        <v>0.9695</v>
      </c>
      <c r="D61" s="4">
        <v>0.9535</v>
      </c>
      <c r="E61" s="4">
        <v>0.9320000000000001</v>
      </c>
      <c r="F61" s="4">
        <v>0.9335</v>
      </c>
      <c r="G61" s="4">
        <v>0.908</v>
      </c>
      <c r="H61" s="4">
        <v>1.001</v>
      </c>
      <c r="I61" s="4">
        <v>1.128</v>
      </c>
      <c r="J61" s="4">
        <v>1.22</v>
      </c>
      <c r="K61" s="4">
        <v>1.236</v>
      </c>
      <c r="L61" s="4">
        <v>1.3835</v>
      </c>
      <c r="M61" s="4">
        <v>1.622</v>
      </c>
      <c r="N61" s="4">
        <v>1.8865</v>
      </c>
      <c r="O61" s="4">
        <v>1.805</v>
      </c>
      <c r="P61" s="4">
        <v>1.545</v>
      </c>
      <c r="Q61" s="4">
        <v>1.452</v>
      </c>
      <c r="R61" s="4">
        <v>1.6145</v>
      </c>
      <c r="S61" s="4">
        <v>1.609</v>
      </c>
      <c r="T61" s="4">
        <v>1.5555</v>
      </c>
      <c r="U61" s="4">
        <v>1.6135</v>
      </c>
      <c r="V61" s="4">
        <v>1.5035</v>
      </c>
      <c r="W61" s="4">
        <v>1.1195</v>
      </c>
      <c r="X61" s="4">
        <v>0.9365</v>
      </c>
      <c r="Y61" s="4">
        <v>0.9335</v>
      </c>
      <c r="Z61" s="4">
        <v>0.9295</v>
      </c>
    </row>
    <row r="62" spans="2:26">
      <c r="B62" s="3">
        <v>22</v>
      </c>
      <c r="C62" s="4">
        <v>0.8794999999999999</v>
      </c>
      <c r="D62" s="4">
        <v>0.8595</v>
      </c>
      <c r="E62" s="4">
        <v>0.863</v>
      </c>
      <c r="F62" s="4">
        <v>0.854</v>
      </c>
      <c r="G62" s="4">
        <v>0.8985</v>
      </c>
      <c r="H62" s="4">
        <v>0.952</v>
      </c>
      <c r="I62" s="4">
        <v>1.049</v>
      </c>
      <c r="J62" s="4">
        <v>1.1715</v>
      </c>
      <c r="K62" s="4">
        <v>1.354</v>
      </c>
      <c r="L62" s="4">
        <v>1.568</v>
      </c>
      <c r="M62" s="4">
        <v>1.4645</v>
      </c>
      <c r="N62" s="4">
        <v>1.564</v>
      </c>
      <c r="O62" s="4">
        <v>1.6155</v>
      </c>
      <c r="P62" s="4">
        <v>1.4975</v>
      </c>
      <c r="Q62" s="4">
        <v>1.369</v>
      </c>
      <c r="R62" s="4">
        <v>1.5715</v>
      </c>
      <c r="S62" s="4">
        <v>1.616</v>
      </c>
      <c r="T62" s="4">
        <v>1.628</v>
      </c>
      <c r="U62" s="4">
        <v>1.549</v>
      </c>
      <c r="V62" s="4">
        <v>1.415</v>
      </c>
      <c r="W62" s="4">
        <v>1.093</v>
      </c>
      <c r="X62" s="4">
        <v>0.9745</v>
      </c>
      <c r="Y62" s="4">
        <v>0.9405</v>
      </c>
      <c r="Z62" s="4">
        <v>0.9</v>
      </c>
    </row>
    <row r="63" spans="2:26">
      <c r="B63" s="3">
        <v>23</v>
      </c>
      <c r="C63" s="4">
        <v>0.888</v>
      </c>
      <c r="D63" s="4">
        <v>0.8495</v>
      </c>
      <c r="E63" s="4">
        <v>0.849</v>
      </c>
      <c r="F63" s="4">
        <v>0.8595</v>
      </c>
      <c r="G63" s="4">
        <v>0.838</v>
      </c>
      <c r="H63" s="4">
        <v>0.915</v>
      </c>
      <c r="I63" s="4">
        <v>0.9085</v>
      </c>
      <c r="J63" s="4">
        <v>0.918</v>
      </c>
      <c r="K63" s="4">
        <v>0.898</v>
      </c>
      <c r="L63" s="4">
        <v>0.953</v>
      </c>
      <c r="M63" s="4">
        <v>0.8445</v>
      </c>
      <c r="N63" s="4">
        <v>0</v>
      </c>
      <c r="O63" s="4">
        <v>0</v>
      </c>
      <c r="P63" s="4">
        <v>0.341</v>
      </c>
      <c r="Q63" s="4">
        <v>1.003</v>
      </c>
      <c r="R63" s="4">
        <v>1.1535</v>
      </c>
      <c r="S63" s="4">
        <v>1.259</v>
      </c>
      <c r="T63" s="4">
        <v>1.308</v>
      </c>
      <c r="U63" s="4">
        <v>1.3385</v>
      </c>
      <c r="V63" s="4">
        <v>1.3335</v>
      </c>
      <c r="W63" s="4">
        <v>1.0835</v>
      </c>
      <c r="X63" s="4">
        <v>0.7045</v>
      </c>
      <c r="Y63" s="4">
        <v>0.8159999999999999</v>
      </c>
      <c r="Z63" s="4">
        <v>0.987</v>
      </c>
    </row>
    <row r="64" spans="2:26">
      <c r="B64" s="3">
        <v>24</v>
      </c>
      <c r="C64" s="4">
        <v>0.8855</v>
      </c>
      <c r="D64" s="4">
        <v>1.0245</v>
      </c>
      <c r="E64" s="4">
        <v>1.11</v>
      </c>
      <c r="F64" s="4">
        <v>1.15</v>
      </c>
      <c r="G64" s="4">
        <v>1.0975</v>
      </c>
      <c r="H64" s="4">
        <v>0.9495</v>
      </c>
      <c r="I64" s="4">
        <v>1.005</v>
      </c>
      <c r="J64" s="4">
        <v>1.166</v>
      </c>
      <c r="K64" s="4">
        <v>1.162</v>
      </c>
      <c r="L64" s="4">
        <v>1.2495</v>
      </c>
      <c r="M64" s="4">
        <v>1.326</v>
      </c>
      <c r="N64" s="4">
        <v>1.2885</v>
      </c>
      <c r="O64" s="4">
        <v>1.3245</v>
      </c>
      <c r="P64" s="4">
        <v>1.021</v>
      </c>
      <c r="Q64" s="4">
        <v>0.945</v>
      </c>
      <c r="R64" s="4">
        <v>1.121</v>
      </c>
      <c r="S64" s="4">
        <v>1.292</v>
      </c>
      <c r="T64" s="4">
        <v>1.269</v>
      </c>
      <c r="U64" s="4">
        <v>1.3075</v>
      </c>
      <c r="V64" s="4">
        <v>1.1185</v>
      </c>
      <c r="W64" s="4">
        <v>0.646</v>
      </c>
      <c r="X64" s="4">
        <v>0.548</v>
      </c>
      <c r="Y64" s="4">
        <v>0.5580000000000001</v>
      </c>
      <c r="Z64" s="4">
        <v>0.533</v>
      </c>
    </row>
    <row r="65" spans="1:26">
      <c r="B65" s="3">
        <v>25</v>
      </c>
      <c r="C65" s="4">
        <v>0.5485</v>
      </c>
      <c r="D65" s="4">
        <v>0.5570000000000001</v>
      </c>
      <c r="E65" s="4">
        <v>0.523</v>
      </c>
      <c r="F65" s="4">
        <v>0.53</v>
      </c>
      <c r="G65" s="4">
        <v>0.5245</v>
      </c>
      <c r="H65" s="4">
        <v>0.5845</v>
      </c>
      <c r="I65" s="4">
        <v>0.9325</v>
      </c>
      <c r="J65" s="4">
        <v>1.09</v>
      </c>
      <c r="K65" s="4">
        <v>1.176</v>
      </c>
      <c r="L65" s="4">
        <v>1.293</v>
      </c>
      <c r="M65" s="4">
        <v>1.42</v>
      </c>
      <c r="N65" s="4">
        <v>1.4085</v>
      </c>
      <c r="O65" s="4">
        <v>1.333</v>
      </c>
      <c r="P65" s="4">
        <v>1.08</v>
      </c>
      <c r="Q65" s="4">
        <v>1.028</v>
      </c>
      <c r="R65" s="4">
        <v>1.28</v>
      </c>
      <c r="S65" s="4">
        <v>1.244</v>
      </c>
      <c r="T65" s="4">
        <v>1.21</v>
      </c>
      <c r="U65" s="4">
        <v>1.351</v>
      </c>
      <c r="V65" s="4">
        <v>1.215</v>
      </c>
      <c r="W65" s="4">
        <v>0.7885</v>
      </c>
      <c r="X65" s="4">
        <v>0.5735</v>
      </c>
      <c r="Y65" s="4">
        <v>0.5629999999999999</v>
      </c>
      <c r="Z65" s="4">
        <v>0.5435</v>
      </c>
    </row>
    <row r="66" spans="1:26">
      <c r="B66" s="3">
        <v>26</v>
      </c>
      <c r="C66" s="4">
        <v>0.5665</v>
      </c>
      <c r="D66" s="4">
        <v>0.5795</v>
      </c>
      <c r="E66" s="4">
        <v>0.536</v>
      </c>
      <c r="F66" s="4">
        <v>0.551</v>
      </c>
      <c r="G66" s="4">
        <v>0.5315</v>
      </c>
      <c r="H66" s="4">
        <v>0.582</v>
      </c>
      <c r="I66" s="4">
        <v>0.876</v>
      </c>
      <c r="J66" s="4">
        <v>1.1345</v>
      </c>
      <c r="K66" s="4">
        <v>1.325</v>
      </c>
      <c r="L66" s="4">
        <v>1.3175</v>
      </c>
      <c r="M66" s="4">
        <v>1.2955</v>
      </c>
      <c r="N66" s="4">
        <v>1.337</v>
      </c>
      <c r="O66" s="4">
        <v>1.32</v>
      </c>
      <c r="P66" s="4">
        <v>1.0815</v>
      </c>
      <c r="Q66" s="4">
        <v>0.9235</v>
      </c>
      <c r="R66" s="4">
        <v>1.0755</v>
      </c>
      <c r="S66" s="4">
        <v>1.0575</v>
      </c>
      <c r="T66" s="4">
        <v>1.1735</v>
      </c>
      <c r="U66" s="4">
        <v>1.3065</v>
      </c>
      <c r="V66" s="4">
        <v>1.1935</v>
      </c>
      <c r="W66" s="4">
        <v>0.995</v>
      </c>
      <c r="X66" s="4">
        <v>0.641</v>
      </c>
      <c r="Y66" s="4">
        <v>0.632</v>
      </c>
      <c r="Z66" s="4">
        <v>0.596</v>
      </c>
    </row>
    <row r="67" spans="1:26">
      <c r="B67" s="3">
        <v>27</v>
      </c>
      <c r="C67" s="4">
        <v>0.614</v>
      </c>
      <c r="D67" s="4">
        <v>0.608</v>
      </c>
      <c r="E67" s="4">
        <v>0.5805</v>
      </c>
      <c r="F67" s="4">
        <v>0.571</v>
      </c>
      <c r="G67" s="4">
        <v>0.572</v>
      </c>
      <c r="H67" s="4">
        <v>0.663</v>
      </c>
      <c r="I67" s="4">
        <v>0.835</v>
      </c>
      <c r="J67" s="4">
        <v>0.987</v>
      </c>
      <c r="K67" s="4">
        <v>1.0645</v>
      </c>
      <c r="L67" s="4">
        <v>1.102</v>
      </c>
      <c r="M67" s="4">
        <v>1.165</v>
      </c>
      <c r="N67" s="4">
        <v>1.456</v>
      </c>
      <c r="O67" s="4">
        <v>1.511</v>
      </c>
      <c r="P67" s="4">
        <v>1.1755</v>
      </c>
      <c r="Q67" s="4">
        <v>1.1075</v>
      </c>
      <c r="R67" s="4">
        <v>1.261</v>
      </c>
      <c r="S67" s="4">
        <v>1.27</v>
      </c>
      <c r="T67" s="4">
        <v>1.1545</v>
      </c>
      <c r="U67" s="4">
        <v>1.17</v>
      </c>
      <c r="V67" s="4">
        <v>1.129</v>
      </c>
      <c r="W67" s="4">
        <v>0.8305</v>
      </c>
      <c r="X67" s="4">
        <v>0.6065</v>
      </c>
      <c r="Y67" s="4">
        <v>0.542</v>
      </c>
      <c r="Z67" s="4">
        <v>0.52</v>
      </c>
    </row>
    <row r="68" spans="1:26">
      <c r="B68" s="3">
        <v>28</v>
      </c>
      <c r="C68" s="4">
        <v>0.533</v>
      </c>
      <c r="D68" s="4">
        <v>0.5175</v>
      </c>
      <c r="E68" s="4">
        <v>0.5265</v>
      </c>
      <c r="F68" s="4">
        <v>0.519</v>
      </c>
      <c r="G68" s="4">
        <v>0.5065</v>
      </c>
      <c r="H68" s="4">
        <v>0.555</v>
      </c>
      <c r="I68" s="4">
        <v>0.738</v>
      </c>
      <c r="J68" s="4">
        <v>0.8090000000000001</v>
      </c>
      <c r="K68" s="4">
        <v>1.0525</v>
      </c>
      <c r="L68" s="4">
        <v>1.295</v>
      </c>
      <c r="M68" s="4">
        <v>1.4765</v>
      </c>
      <c r="N68" s="4">
        <v>1.4935</v>
      </c>
      <c r="O68" s="4">
        <v>1.4925</v>
      </c>
      <c r="P68" s="4">
        <v>1.2395</v>
      </c>
      <c r="Q68" s="4">
        <v>1.0855</v>
      </c>
      <c r="R68" s="4">
        <v>1.198</v>
      </c>
      <c r="S68" s="4">
        <v>1.188</v>
      </c>
      <c r="T68" s="4">
        <v>1.281</v>
      </c>
      <c r="U68" s="4">
        <v>1.374</v>
      </c>
      <c r="V68" s="4">
        <v>1.4095</v>
      </c>
      <c r="W68" s="4">
        <v>1.218</v>
      </c>
      <c r="X68" s="4">
        <v>0.7805</v>
      </c>
      <c r="Y68" s="4">
        <v>0.819</v>
      </c>
      <c r="Z68" s="4">
        <v>1.021</v>
      </c>
    </row>
    <row r="69" spans="1:26">
      <c r="B69" s="3">
        <v>29</v>
      </c>
      <c r="C69" s="4">
        <v>1.0805</v>
      </c>
      <c r="D69" s="4">
        <v>1.077</v>
      </c>
      <c r="E69" s="4">
        <v>1.077</v>
      </c>
      <c r="F69" s="4">
        <v>1.1965</v>
      </c>
      <c r="G69" s="4">
        <v>1.0185</v>
      </c>
      <c r="H69" s="4">
        <v>0.9235</v>
      </c>
      <c r="I69" s="4">
        <v>1.0025</v>
      </c>
      <c r="J69" s="4">
        <v>1.192</v>
      </c>
      <c r="K69" s="4">
        <v>1.08</v>
      </c>
      <c r="L69" s="4">
        <v>1.124</v>
      </c>
      <c r="M69" s="4">
        <v>1.274</v>
      </c>
      <c r="N69" s="4">
        <v>1.291</v>
      </c>
      <c r="O69" s="4">
        <v>1.349</v>
      </c>
      <c r="P69" s="4">
        <v>0.9825</v>
      </c>
      <c r="Q69" s="4">
        <v>1.0585</v>
      </c>
      <c r="R69" s="4">
        <v>1.141</v>
      </c>
      <c r="S69" s="4">
        <v>1.165</v>
      </c>
      <c r="T69" s="4">
        <v>1.2385</v>
      </c>
      <c r="U69" s="4">
        <v>1.355</v>
      </c>
      <c r="V69" s="4">
        <v>1.287</v>
      </c>
      <c r="W69" s="4">
        <v>0.894</v>
      </c>
      <c r="X69" s="4">
        <v>0.67</v>
      </c>
      <c r="Y69" s="4">
        <v>0.609</v>
      </c>
      <c r="Z69" s="4">
        <v>0.651</v>
      </c>
    </row>
    <row r="70" spans="1:26">
      <c r="B70" s="3">
        <v>30</v>
      </c>
      <c r="C70" s="4">
        <v>0.6565</v>
      </c>
      <c r="D70" s="4">
        <v>0.547</v>
      </c>
      <c r="E70" s="4">
        <v>0.572</v>
      </c>
      <c r="F70" s="4">
        <v>0.578</v>
      </c>
      <c r="G70" s="4">
        <v>0.5785</v>
      </c>
      <c r="H70" s="4">
        <v>0.574</v>
      </c>
      <c r="I70" s="4">
        <v>0.6915</v>
      </c>
      <c r="J70" s="4">
        <v>0.6909999999999999</v>
      </c>
      <c r="K70" s="4">
        <v>0.774</v>
      </c>
      <c r="L70" s="4">
        <v>1.1905</v>
      </c>
      <c r="M70" s="4">
        <v>1.2765</v>
      </c>
      <c r="N70" s="4">
        <v>1.3375</v>
      </c>
      <c r="O70" s="4">
        <v>1.3275</v>
      </c>
      <c r="P70" s="4">
        <v>1.1515</v>
      </c>
      <c r="Q70" s="4">
        <v>0.9815</v>
      </c>
      <c r="R70" s="4">
        <v>1.1025</v>
      </c>
      <c r="S70" s="4">
        <v>1.142</v>
      </c>
      <c r="T70" s="4">
        <v>1.2495</v>
      </c>
      <c r="U70" s="4">
        <v>1.3075</v>
      </c>
      <c r="V70" s="4">
        <v>1.28</v>
      </c>
      <c r="W70" s="4">
        <v>0.9255</v>
      </c>
      <c r="X70" s="4">
        <v>0.7235</v>
      </c>
      <c r="Y70" s="4">
        <v>0.7265</v>
      </c>
      <c r="Z70" s="4">
        <v>0.681</v>
      </c>
    </row>
    <row r="71" spans="1:26">
      <c r="B71" s="3">
        <v>31</v>
      </c>
      <c r="C71" s="4">
        <v>0.667</v>
      </c>
      <c r="D71" s="4">
        <v>0.6355</v>
      </c>
      <c r="E71" s="4">
        <v>0.605</v>
      </c>
      <c r="F71" s="4">
        <v>0.6235000000000001</v>
      </c>
      <c r="G71" s="4">
        <v>0.6125</v>
      </c>
      <c r="H71" s="4">
        <v>0.667</v>
      </c>
      <c r="I71" s="4">
        <v>0.8225</v>
      </c>
      <c r="J71" s="4">
        <v>0.8855</v>
      </c>
      <c r="K71" s="4">
        <v>1.121</v>
      </c>
      <c r="L71" s="4">
        <v>1.3175</v>
      </c>
      <c r="M71" s="4">
        <v>1.499</v>
      </c>
      <c r="N71" s="4">
        <v>1.4785</v>
      </c>
      <c r="O71" s="4">
        <v>1.2815</v>
      </c>
      <c r="P71" s="4">
        <v>1.015</v>
      </c>
      <c r="Q71" s="4">
        <v>1.14</v>
      </c>
      <c r="R71" s="4">
        <v>1.406</v>
      </c>
      <c r="S71" s="4">
        <v>1.304</v>
      </c>
      <c r="T71" s="4">
        <v>1.157</v>
      </c>
      <c r="U71" s="4">
        <v>1.187</v>
      </c>
      <c r="V71" s="4">
        <v>1.1165</v>
      </c>
      <c r="W71" s="4">
        <v>0.856</v>
      </c>
      <c r="X71" s="4">
        <v>0.6885</v>
      </c>
      <c r="Y71" s="4">
        <v>0.6745</v>
      </c>
      <c r="Z71" s="4">
        <v>0.6615</v>
      </c>
    </row>
    <row r="72" spans="1:26">
      <c r="Y72" s="5" t="s">
        <v>31</v>
      </c>
      <c r="Z72" s="6">
        <v>98725.32000000001</v>
      </c>
    </row>
    <row r="73" spans="1:26">
      <c r="A73" t="s">
        <v>2</v>
      </c>
      <c r="B73" s="2" t="s">
        <v>33</v>
      </c>
    </row>
    <row r="74" spans="1:26">
      <c r="A74" t="s">
        <v>4</v>
      </c>
      <c r="B74" s="1">
        <v>20</v>
      </c>
    </row>
    <row r="75" spans="1:26">
      <c r="B75" s="3">
        <v>1</v>
      </c>
      <c r="C75" s="4">
        <v>1.04</v>
      </c>
      <c r="D75" s="4">
        <v>1.0535</v>
      </c>
      <c r="E75" s="4">
        <v>1.027</v>
      </c>
      <c r="F75" s="4">
        <v>1.06</v>
      </c>
      <c r="G75" s="4">
        <v>1.0405</v>
      </c>
      <c r="H75" s="4">
        <v>1.0155</v>
      </c>
      <c r="I75" s="4">
        <v>1.052</v>
      </c>
      <c r="J75" s="4">
        <v>1.0775</v>
      </c>
      <c r="K75" s="4">
        <v>1.0355</v>
      </c>
      <c r="L75" s="4">
        <v>1.076</v>
      </c>
      <c r="M75" s="4">
        <v>1.058</v>
      </c>
      <c r="N75" s="4">
        <v>1.0665</v>
      </c>
      <c r="O75" s="4">
        <v>1.074</v>
      </c>
      <c r="P75" s="4">
        <v>1.016</v>
      </c>
      <c r="Q75" s="4">
        <v>1.042</v>
      </c>
      <c r="R75" s="4">
        <v>1.084</v>
      </c>
      <c r="S75" s="4">
        <v>1.0745</v>
      </c>
      <c r="T75" s="4">
        <v>1.0535</v>
      </c>
      <c r="U75" s="4">
        <v>1.11</v>
      </c>
      <c r="V75" s="4">
        <v>1.0785</v>
      </c>
      <c r="W75" s="4">
        <v>1.105</v>
      </c>
      <c r="X75" s="4">
        <v>1.082</v>
      </c>
      <c r="Y75" s="4">
        <v>1.1145</v>
      </c>
      <c r="Z75" s="4">
        <v>1.0905</v>
      </c>
    </row>
    <row r="76" spans="1:26">
      <c r="B76" s="3">
        <v>2</v>
      </c>
      <c r="C76" s="4">
        <v>1.0745</v>
      </c>
      <c r="D76" s="4">
        <v>1.095</v>
      </c>
      <c r="E76" s="4">
        <v>1.0685</v>
      </c>
      <c r="F76" s="4">
        <v>1.062</v>
      </c>
      <c r="G76" s="4">
        <v>1.045</v>
      </c>
      <c r="H76" s="4">
        <v>1.1135</v>
      </c>
      <c r="I76" s="4">
        <v>1.0585</v>
      </c>
      <c r="J76" s="4">
        <v>1.07</v>
      </c>
      <c r="K76" s="4">
        <v>1.04</v>
      </c>
      <c r="L76" s="4">
        <v>1.038</v>
      </c>
      <c r="M76" s="4">
        <v>1.0085</v>
      </c>
      <c r="N76" s="4">
        <v>0.961</v>
      </c>
      <c r="O76" s="4">
        <v>1.0215</v>
      </c>
      <c r="P76" s="4">
        <v>1.0025</v>
      </c>
      <c r="Q76" s="4">
        <v>0.9635</v>
      </c>
      <c r="R76" s="4">
        <v>1.0355</v>
      </c>
      <c r="S76" s="4">
        <v>1.0515</v>
      </c>
      <c r="T76" s="4">
        <v>1.036</v>
      </c>
      <c r="U76" s="4">
        <v>1.109</v>
      </c>
      <c r="V76" s="4">
        <v>1.1075</v>
      </c>
      <c r="W76" s="4">
        <v>1.0885</v>
      </c>
      <c r="X76" s="4">
        <v>1.105</v>
      </c>
      <c r="Y76" s="4">
        <v>1.112</v>
      </c>
      <c r="Z76" s="4">
        <v>1.054</v>
      </c>
    </row>
    <row r="77" spans="1:26">
      <c r="B77" s="3">
        <v>3</v>
      </c>
      <c r="C77" s="4">
        <v>1.07</v>
      </c>
      <c r="D77" s="4">
        <v>1.0895</v>
      </c>
      <c r="E77" s="4">
        <v>1.033</v>
      </c>
      <c r="F77" s="4">
        <v>1.046</v>
      </c>
      <c r="G77" s="4">
        <v>1.056</v>
      </c>
      <c r="H77" s="4">
        <v>1.0675</v>
      </c>
      <c r="I77" s="4">
        <v>1.026</v>
      </c>
      <c r="J77" s="4">
        <v>1.099</v>
      </c>
      <c r="K77" s="4">
        <v>1.1255</v>
      </c>
      <c r="L77" s="4">
        <v>1.087</v>
      </c>
      <c r="M77" s="4">
        <v>1.165</v>
      </c>
      <c r="N77" s="4">
        <v>1.128</v>
      </c>
      <c r="O77" s="4">
        <v>1.141</v>
      </c>
      <c r="P77" s="4">
        <v>1.1545</v>
      </c>
      <c r="Q77" s="4">
        <v>1.1175</v>
      </c>
      <c r="R77" s="4">
        <v>1.0855</v>
      </c>
      <c r="S77" s="4">
        <v>1.122</v>
      </c>
      <c r="T77" s="4">
        <v>1.104</v>
      </c>
      <c r="U77" s="4">
        <v>1.125</v>
      </c>
      <c r="V77" s="4">
        <v>1.0535</v>
      </c>
      <c r="W77" s="4">
        <v>1.161</v>
      </c>
      <c r="X77" s="4">
        <v>1.0535</v>
      </c>
      <c r="Y77" s="4">
        <v>1.113</v>
      </c>
      <c r="Z77" s="4">
        <v>1.1075</v>
      </c>
    </row>
    <row r="78" spans="1:26">
      <c r="B78" s="3">
        <v>4</v>
      </c>
      <c r="C78" s="4">
        <v>1.0825</v>
      </c>
      <c r="D78" s="4">
        <v>1.082</v>
      </c>
      <c r="E78" s="4">
        <v>1.127</v>
      </c>
      <c r="F78" s="4">
        <v>1.068</v>
      </c>
      <c r="G78" s="4">
        <v>1.0755</v>
      </c>
      <c r="H78" s="4">
        <v>1.1305</v>
      </c>
      <c r="I78" s="4">
        <v>1.053</v>
      </c>
      <c r="J78" s="4">
        <v>1.08</v>
      </c>
      <c r="K78" s="4">
        <v>1.028</v>
      </c>
      <c r="L78" s="4">
        <v>1.0805</v>
      </c>
      <c r="M78" s="4">
        <v>1.046</v>
      </c>
      <c r="N78" s="4">
        <v>1.0345</v>
      </c>
      <c r="O78" s="4">
        <v>1.1355</v>
      </c>
      <c r="P78" s="4">
        <v>1.1515</v>
      </c>
      <c r="Q78" s="4">
        <v>1.085</v>
      </c>
      <c r="R78" s="4">
        <v>1.076</v>
      </c>
      <c r="S78" s="4">
        <v>1.063</v>
      </c>
      <c r="T78" s="4">
        <v>1.0235</v>
      </c>
      <c r="U78" s="4">
        <v>1.0375</v>
      </c>
      <c r="V78" s="4">
        <v>1.0245</v>
      </c>
      <c r="W78" s="4">
        <v>1.049</v>
      </c>
      <c r="X78" s="4">
        <v>1.029</v>
      </c>
      <c r="Y78" s="4">
        <v>1.046</v>
      </c>
      <c r="Z78" s="4">
        <v>1.067</v>
      </c>
    </row>
    <row r="79" spans="1:26">
      <c r="B79" s="3">
        <v>5</v>
      </c>
      <c r="C79" s="4">
        <v>1.015</v>
      </c>
      <c r="D79" s="4">
        <v>1.0635</v>
      </c>
      <c r="E79" s="4">
        <v>1.048</v>
      </c>
      <c r="F79" s="4">
        <v>1.048</v>
      </c>
      <c r="G79" s="4">
        <v>1.062</v>
      </c>
      <c r="H79" s="4">
        <v>1.134</v>
      </c>
      <c r="I79" s="4">
        <v>1.1105</v>
      </c>
      <c r="J79" s="4">
        <v>1.0845</v>
      </c>
      <c r="K79" s="4">
        <v>1.064</v>
      </c>
      <c r="L79" s="4">
        <v>1.0625</v>
      </c>
      <c r="M79" s="4">
        <v>1.061</v>
      </c>
      <c r="N79" s="4">
        <v>1.0435</v>
      </c>
      <c r="O79" s="4">
        <v>1.0645</v>
      </c>
      <c r="P79" s="4">
        <v>1.0115</v>
      </c>
      <c r="Q79" s="4">
        <v>1.047</v>
      </c>
      <c r="R79" s="4">
        <v>1.036</v>
      </c>
      <c r="S79" s="4">
        <v>1.019</v>
      </c>
      <c r="T79" s="4">
        <v>1.054</v>
      </c>
      <c r="U79" s="4">
        <v>1.0505</v>
      </c>
      <c r="V79" s="4">
        <v>1.004</v>
      </c>
      <c r="W79" s="4">
        <v>1.0835</v>
      </c>
      <c r="X79" s="4">
        <v>1.1035</v>
      </c>
      <c r="Y79" s="4">
        <v>1.0915</v>
      </c>
      <c r="Z79" s="4">
        <v>1.0905</v>
      </c>
    </row>
    <row r="80" spans="1:26">
      <c r="B80" s="3">
        <v>6</v>
      </c>
      <c r="C80" s="4">
        <v>1.123</v>
      </c>
      <c r="D80" s="4">
        <v>1.1095</v>
      </c>
      <c r="E80" s="4">
        <v>1.0695</v>
      </c>
      <c r="F80" s="4">
        <v>1.0955</v>
      </c>
      <c r="G80" s="4">
        <v>1.1005</v>
      </c>
      <c r="H80" s="4">
        <v>1.123</v>
      </c>
      <c r="I80" s="4">
        <v>1.079</v>
      </c>
      <c r="J80" s="4">
        <v>1.1025</v>
      </c>
      <c r="K80" s="4">
        <v>1.1335</v>
      </c>
      <c r="L80" s="4">
        <v>1.033</v>
      </c>
      <c r="M80" s="4">
        <v>1.049</v>
      </c>
      <c r="N80" s="4">
        <v>1.0615</v>
      </c>
      <c r="O80" s="4">
        <v>1.105</v>
      </c>
      <c r="P80" s="4">
        <v>1.087</v>
      </c>
      <c r="Q80" s="4">
        <v>1.113</v>
      </c>
      <c r="R80" s="4">
        <v>1.0805</v>
      </c>
      <c r="S80" s="4">
        <v>1.0935</v>
      </c>
      <c r="T80" s="4">
        <v>1.0495</v>
      </c>
      <c r="U80" s="4">
        <v>1.0335</v>
      </c>
      <c r="V80" s="4">
        <v>1.0645</v>
      </c>
      <c r="W80" s="4">
        <v>1.052</v>
      </c>
      <c r="X80" s="4">
        <v>1.0755</v>
      </c>
      <c r="Y80" s="4">
        <v>1.1405</v>
      </c>
      <c r="Z80" s="4">
        <v>1.067</v>
      </c>
    </row>
    <row r="81" spans="2:26">
      <c r="B81" s="3">
        <v>7</v>
      </c>
      <c r="C81" s="4">
        <v>1.087</v>
      </c>
      <c r="D81" s="4">
        <v>1.0955</v>
      </c>
      <c r="E81" s="4">
        <v>1.1175</v>
      </c>
      <c r="F81" s="4">
        <v>1.0685</v>
      </c>
      <c r="G81" s="4">
        <v>1.076</v>
      </c>
      <c r="H81" s="4">
        <v>1.1425</v>
      </c>
      <c r="I81" s="4">
        <v>1.092</v>
      </c>
      <c r="J81" s="4">
        <v>1.0585</v>
      </c>
      <c r="K81" s="4">
        <v>1.0965</v>
      </c>
      <c r="L81" s="4">
        <v>1.0685</v>
      </c>
      <c r="M81" s="4">
        <v>1.082</v>
      </c>
      <c r="N81" s="4">
        <v>1.0585</v>
      </c>
      <c r="O81" s="4">
        <v>1.0815</v>
      </c>
      <c r="P81" s="4">
        <v>1.0865</v>
      </c>
      <c r="Q81" s="4">
        <v>1.0645</v>
      </c>
      <c r="R81" s="4">
        <v>1.076</v>
      </c>
      <c r="S81" s="4">
        <v>1.099</v>
      </c>
      <c r="T81" s="4">
        <v>1.0905</v>
      </c>
      <c r="U81" s="4">
        <v>1.0725</v>
      </c>
      <c r="V81" s="4">
        <v>1.1105</v>
      </c>
      <c r="W81" s="4">
        <v>1.0705</v>
      </c>
      <c r="X81" s="4">
        <v>1.133</v>
      </c>
      <c r="Y81" s="4">
        <v>1.093</v>
      </c>
      <c r="Z81" s="4">
        <v>1.053</v>
      </c>
    </row>
    <row r="82" spans="2:26">
      <c r="B82" s="3">
        <v>8</v>
      </c>
      <c r="C82" s="4">
        <v>1.1345</v>
      </c>
      <c r="D82" s="4">
        <v>1.053</v>
      </c>
      <c r="E82" s="4">
        <v>1.085</v>
      </c>
      <c r="F82" s="4">
        <v>1.1255</v>
      </c>
      <c r="G82" s="4">
        <v>1.097</v>
      </c>
      <c r="H82" s="4">
        <v>1.117</v>
      </c>
      <c r="I82" s="4">
        <v>1.0885</v>
      </c>
      <c r="J82" s="4">
        <v>1.077</v>
      </c>
      <c r="K82" s="4">
        <v>1.031</v>
      </c>
      <c r="L82" s="4">
        <v>1.072</v>
      </c>
      <c r="M82" s="4">
        <v>1.019</v>
      </c>
      <c r="N82" s="4">
        <v>1.043</v>
      </c>
      <c r="O82" s="4">
        <v>1.073</v>
      </c>
      <c r="P82" s="4">
        <v>1.04</v>
      </c>
      <c r="Q82" s="4">
        <v>1.0675</v>
      </c>
      <c r="R82" s="4">
        <v>1.0125</v>
      </c>
      <c r="S82" s="4">
        <v>1.0615</v>
      </c>
      <c r="T82" s="4">
        <v>1.0015</v>
      </c>
      <c r="U82" s="4">
        <v>0.9835</v>
      </c>
      <c r="V82" s="4">
        <v>1.0895</v>
      </c>
      <c r="W82" s="4">
        <v>1.006</v>
      </c>
      <c r="X82" s="4">
        <v>1.048</v>
      </c>
      <c r="Y82" s="4">
        <v>1.0735</v>
      </c>
      <c r="Z82" s="4">
        <v>1.0345</v>
      </c>
    </row>
    <row r="83" spans="2:26">
      <c r="B83" s="3">
        <v>9</v>
      </c>
      <c r="C83" s="4">
        <v>1.038</v>
      </c>
      <c r="D83" s="4">
        <v>1.0565</v>
      </c>
      <c r="E83" s="4">
        <v>1.0495</v>
      </c>
      <c r="F83" s="4">
        <v>1.046</v>
      </c>
      <c r="G83" s="4">
        <v>1.019</v>
      </c>
      <c r="H83" s="4">
        <v>1.065</v>
      </c>
      <c r="I83" s="4">
        <v>1.037</v>
      </c>
      <c r="J83" s="4">
        <v>1.0775</v>
      </c>
      <c r="K83" s="4">
        <v>1.0705</v>
      </c>
      <c r="L83" s="4">
        <v>1.119</v>
      </c>
      <c r="M83" s="4">
        <v>1.092</v>
      </c>
      <c r="N83" s="4">
        <v>1.0735</v>
      </c>
      <c r="O83" s="4">
        <v>1.1295</v>
      </c>
      <c r="P83" s="4">
        <v>1.152</v>
      </c>
      <c r="Q83" s="4">
        <v>1.1115</v>
      </c>
      <c r="R83" s="4">
        <v>1.114</v>
      </c>
      <c r="S83" s="4">
        <v>1.1315</v>
      </c>
      <c r="T83" s="4">
        <v>1.128</v>
      </c>
      <c r="U83" s="4">
        <v>1.098</v>
      </c>
      <c r="V83" s="4">
        <v>1.157</v>
      </c>
      <c r="W83" s="4">
        <v>1.1315</v>
      </c>
      <c r="X83" s="4">
        <v>1.1845</v>
      </c>
      <c r="Y83" s="4">
        <v>1.0995</v>
      </c>
      <c r="Z83" s="4">
        <v>1.1025</v>
      </c>
    </row>
    <row r="84" spans="2:26">
      <c r="B84" s="3">
        <v>10</v>
      </c>
      <c r="C84" s="4">
        <v>1.138</v>
      </c>
      <c r="D84" s="4">
        <v>1.1185</v>
      </c>
      <c r="E84" s="4">
        <v>1.068</v>
      </c>
      <c r="F84" s="4">
        <v>1.127</v>
      </c>
      <c r="G84" s="4">
        <v>1.12</v>
      </c>
      <c r="H84" s="4">
        <v>1.0705</v>
      </c>
      <c r="I84" s="4">
        <v>1.124</v>
      </c>
      <c r="J84" s="4">
        <v>1.1515</v>
      </c>
      <c r="K84" s="4">
        <v>1.044</v>
      </c>
      <c r="L84" s="4">
        <v>1.0715</v>
      </c>
      <c r="M84" s="4">
        <v>1.072</v>
      </c>
      <c r="N84" s="4">
        <v>1.086</v>
      </c>
      <c r="O84" s="4">
        <v>1.0905</v>
      </c>
      <c r="P84" s="4">
        <v>1.0755</v>
      </c>
      <c r="Q84" s="4">
        <v>1.1115</v>
      </c>
      <c r="R84" s="4">
        <v>1.0505</v>
      </c>
      <c r="S84" s="4">
        <v>1.074</v>
      </c>
      <c r="T84" s="4">
        <v>1.067</v>
      </c>
      <c r="U84" s="4">
        <v>1.0985</v>
      </c>
      <c r="V84" s="4">
        <v>1.076</v>
      </c>
      <c r="W84" s="4">
        <v>1.1295</v>
      </c>
      <c r="X84" s="4">
        <v>1.064</v>
      </c>
      <c r="Y84" s="4">
        <v>1.12</v>
      </c>
      <c r="Z84" s="4">
        <v>1.1125</v>
      </c>
    </row>
    <row r="85" spans="2:26">
      <c r="B85" s="3">
        <v>11</v>
      </c>
      <c r="C85" s="4">
        <v>1.1125</v>
      </c>
      <c r="D85" s="4">
        <v>1.0555</v>
      </c>
      <c r="E85" s="4">
        <v>1.1205</v>
      </c>
      <c r="F85" s="4">
        <v>1.092</v>
      </c>
      <c r="G85" s="4">
        <v>1.1405</v>
      </c>
      <c r="H85" s="4">
        <v>1.176</v>
      </c>
      <c r="I85" s="4">
        <v>1.0985</v>
      </c>
      <c r="J85" s="4">
        <v>1.1135</v>
      </c>
      <c r="K85" s="4">
        <v>1.0555</v>
      </c>
      <c r="L85" s="4">
        <v>1.0995</v>
      </c>
      <c r="M85" s="4">
        <v>1.067</v>
      </c>
      <c r="N85" s="4">
        <v>1.1055</v>
      </c>
      <c r="O85" s="4">
        <v>1.109</v>
      </c>
      <c r="P85" s="4">
        <v>1.049</v>
      </c>
      <c r="Q85" s="4">
        <v>1.089</v>
      </c>
      <c r="R85" s="4">
        <v>1.0345</v>
      </c>
      <c r="S85" s="4">
        <v>1.0865</v>
      </c>
      <c r="T85" s="4">
        <v>1.072</v>
      </c>
      <c r="U85" s="4">
        <v>1.088</v>
      </c>
      <c r="V85" s="4">
        <v>1.0875</v>
      </c>
      <c r="W85" s="4">
        <v>1.1135</v>
      </c>
      <c r="X85" s="4">
        <v>1.181</v>
      </c>
      <c r="Y85" s="4">
        <v>1.1225</v>
      </c>
      <c r="Z85" s="4">
        <v>1.082</v>
      </c>
    </row>
    <row r="86" spans="2:26">
      <c r="B86" s="3">
        <v>12</v>
      </c>
      <c r="C86" s="4">
        <v>1.1235</v>
      </c>
      <c r="D86" s="4">
        <v>1.1225</v>
      </c>
      <c r="E86" s="4">
        <v>1.0585</v>
      </c>
      <c r="F86" s="4">
        <v>1.08</v>
      </c>
      <c r="G86" s="4">
        <v>1.0915</v>
      </c>
      <c r="H86" s="4">
        <v>1.1045</v>
      </c>
      <c r="I86" s="4">
        <v>1.0955</v>
      </c>
      <c r="J86" s="4">
        <v>1.096</v>
      </c>
      <c r="K86" s="4">
        <v>1.127</v>
      </c>
      <c r="L86" s="4">
        <v>1.0795</v>
      </c>
      <c r="M86" s="4">
        <v>1.129</v>
      </c>
      <c r="N86" s="4">
        <v>1.114</v>
      </c>
      <c r="O86" s="4">
        <v>1.1395</v>
      </c>
      <c r="P86" s="4">
        <v>1.1145</v>
      </c>
      <c r="Q86" s="4">
        <v>1.1315</v>
      </c>
      <c r="R86" s="4">
        <v>1.1525</v>
      </c>
      <c r="S86" s="4">
        <v>1.0925</v>
      </c>
      <c r="T86" s="4">
        <v>1.113</v>
      </c>
      <c r="U86" s="4">
        <v>1.108</v>
      </c>
      <c r="V86" s="4">
        <v>1.086</v>
      </c>
      <c r="W86" s="4">
        <v>1.1545</v>
      </c>
      <c r="X86" s="4">
        <v>1.192</v>
      </c>
      <c r="Y86" s="4">
        <v>1.088</v>
      </c>
      <c r="Z86" s="4">
        <v>1.029</v>
      </c>
    </row>
    <row r="87" spans="2:26">
      <c r="B87" s="3">
        <v>13</v>
      </c>
      <c r="C87" s="4">
        <v>1.092</v>
      </c>
      <c r="D87" s="4">
        <v>1.016</v>
      </c>
      <c r="E87" s="4">
        <v>1.0135</v>
      </c>
      <c r="F87" s="4">
        <v>1.035</v>
      </c>
      <c r="G87" s="4">
        <v>1.045</v>
      </c>
      <c r="H87" s="4">
        <v>1.028</v>
      </c>
      <c r="I87" s="4">
        <v>1.0245</v>
      </c>
      <c r="J87" s="4">
        <v>1.0605</v>
      </c>
      <c r="K87" s="4">
        <v>1.0255</v>
      </c>
      <c r="L87" s="4">
        <v>1.052</v>
      </c>
      <c r="M87" s="4">
        <v>1.096</v>
      </c>
      <c r="N87" s="4">
        <v>1.0325</v>
      </c>
      <c r="O87" s="4">
        <v>1.0985</v>
      </c>
      <c r="P87" s="4">
        <v>1.0855</v>
      </c>
      <c r="Q87" s="4">
        <v>1.082</v>
      </c>
      <c r="R87" s="4">
        <v>1.127</v>
      </c>
      <c r="S87" s="4">
        <v>1.109</v>
      </c>
      <c r="T87" s="4">
        <v>1.141</v>
      </c>
      <c r="U87" s="4">
        <v>1.104</v>
      </c>
      <c r="V87" s="4">
        <v>1.136</v>
      </c>
      <c r="W87" s="4">
        <v>1.173</v>
      </c>
      <c r="X87" s="4">
        <v>1.2095</v>
      </c>
      <c r="Y87" s="4">
        <v>1.14</v>
      </c>
      <c r="Z87" s="4">
        <v>1.121</v>
      </c>
    </row>
    <row r="88" spans="2:26">
      <c r="B88" s="3">
        <v>14</v>
      </c>
      <c r="C88" s="4">
        <v>1.0885</v>
      </c>
      <c r="D88" s="4">
        <v>1.077</v>
      </c>
      <c r="E88" s="4">
        <v>1.158</v>
      </c>
      <c r="F88" s="4">
        <v>1.0665</v>
      </c>
      <c r="G88" s="4">
        <v>1.0735</v>
      </c>
      <c r="H88" s="4">
        <v>1.1245</v>
      </c>
      <c r="I88" s="4">
        <v>1.1125</v>
      </c>
      <c r="J88" s="4">
        <v>1.098</v>
      </c>
      <c r="K88" s="4">
        <v>1.094</v>
      </c>
      <c r="L88" s="4">
        <v>1.01</v>
      </c>
      <c r="M88" s="4">
        <v>1.078</v>
      </c>
      <c r="N88" s="4">
        <v>1.023</v>
      </c>
      <c r="O88" s="4">
        <v>1.099</v>
      </c>
      <c r="P88" s="4">
        <v>1.044</v>
      </c>
      <c r="Q88" s="4">
        <v>1.0515</v>
      </c>
      <c r="R88" s="4">
        <v>1.0525</v>
      </c>
      <c r="S88" s="4">
        <v>1.104</v>
      </c>
      <c r="T88" s="4">
        <v>1.0615</v>
      </c>
      <c r="U88" s="4">
        <v>1.0835</v>
      </c>
      <c r="V88" s="4">
        <v>1.0555</v>
      </c>
      <c r="W88" s="4">
        <v>1.099</v>
      </c>
      <c r="X88" s="4">
        <v>1.1255</v>
      </c>
      <c r="Y88" s="4">
        <v>1.1465</v>
      </c>
      <c r="Z88" s="4">
        <v>1.0665</v>
      </c>
    </row>
    <row r="89" spans="2:26">
      <c r="B89" s="3">
        <v>15</v>
      </c>
      <c r="C89" s="4">
        <v>1.0975</v>
      </c>
      <c r="D89" s="4">
        <v>1.0515</v>
      </c>
      <c r="E89" s="4">
        <v>1.0655</v>
      </c>
      <c r="F89" s="4">
        <v>1.012</v>
      </c>
      <c r="G89" s="4">
        <v>1.0445</v>
      </c>
      <c r="H89" s="4">
        <v>1.062</v>
      </c>
      <c r="I89" s="4">
        <v>1.047</v>
      </c>
      <c r="J89" s="4">
        <v>1.1125</v>
      </c>
      <c r="K89" s="4">
        <v>1.11</v>
      </c>
      <c r="L89" s="4">
        <v>1.0475</v>
      </c>
      <c r="M89" s="4">
        <v>1.0455</v>
      </c>
      <c r="N89" s="4">
        <v>1.084</v>
      </c>
      <c r="O89" s="4">
        <v>1.1375</v>
      </c>
      <c r="P89" s="4">
        <v>1.0935</v>
      </c>
      <c r="Q89" s="4">
        <v>1.089</v>
      </c>
      <c r="R89" s="4">
        <v>1.028</v>
      </c>
      <c r="S89" s="4">
        <v>1.0875</v>
      </c>
      <c r="T89" s="4">
        <v>1.105</v>
      </c>
      <c r="U89" s="4">
        <v>1.1195</v>
      </c>
      <c r="V89" s="4">
        <v>1.113</v>
      </c>
      <c r="W89" s="4">
        <v>1.0865</v>
      </c>
      <c r="X89" s="4">
        <v>1.1335</v>
      </c>
      <c r="Y89" s="4">
        <v>1.1235</v>
      </c>
      <c r="Z89" s="4">
        <v>1.138</v>
      </c>
    </row>
    <row r="90" spans="2:26">
      <c r="B90" s="3">
        <v>16</v>
      </c>
      <c r="C90" s="4">
        <v>1.163</v>
      </c>
      <c r="D90" s="4">
        <v>1.146</v>
      </c>
      <c r="E90" s="4">
        <v>1.1635</v>
      </c>
      <c r="F90" s="4">
        <v>1.1255</v>
      </c>
      <c r="G90" s="4">
        <v>1.1685</v>
      </c>
      <c r="H90" s="4">
        <v>1.186</v>
      </c>
      <c r="I90" s="4">
        <v>1.2065</v>
      </c>
      <c r="J90" s="4">
        <v>1.168</v>
      </c>
      <c r="K90" s="4">
        <v>1.0895</v>
      </c>
      <c r="L90" s="4">
        <v>1.102</v>
      </c>
      <c r="M90" s="4">
        <v>1.095</v>
      </c>
      <c r="N90" s="4">
        <v>1.1215</v>
      </c>
      <c r="O90" s="4">
        <v>1.1445</v>
      </c>
      <c r="P90" s="4">
        <v>1.135</v>
      </c>
      <c r="Q90" s="4">
        <v>1.2</v>
      </c>
      <c r="R90" s="4">
        <v>1.166</v>
      </c>
      <c r="S90" s="4">
        <v>1.16</v>
      </c>
      <c r="T90" s="4">
        <v>1.198</v>
      </c>
      <c r="U90" s="4">
        <v>1.192</v>
      </c>
      <c r="V90" s="4">
        <v>1.1965</v>
      </c>
      <c r="W90" s="4">
        <v>1.224</v>
      </c>
      <c r="X90" s="4">
        <v>1.2175</v>
      </c>
      <c r="Y90" s="4">
        <v>1.153</v>
      </c>
      <c r="Z90" s="4">
        <v>1.1465</v>
      </c>
    </row>
    <row r="91" spans="2:26">
      <c r="B91" s="3">
        <v>17</v>
      </c>
      <c r="C91" s="4">
        <v>1.1265</v>
      </c>
      <c r="D91" s="4">
        <v>1.109</v>
      </c>
      <c r="E91" s="4">
        <v>1.0995</v>
      </c>
      <c r="F91" s="4">
        <v>1.1305</v>
      </c>
      <c r="G91" s="4">
        <v>1.083</v>
      </c>
      <c r="H91" s="4">
        <v>1.1035</v>
      </c>
      <c r="I91" s="4">
        <v>1.112</v>
      </c>
      <c r="J91" s="4">
        <v>1.061</v>
      </c>
      <c r="K91" s="4">
        <v>1.084</v>
      </c>
      <c r="L91" s="4">
        <v>1.111</v>
      </c>
      <c r="M91" s="4">
        <v>1.091</v>
      </c>
      <c r="N91" s="4">
        <v>1.13</v>
      </c>
      <c r="O91" s="4">
        <v>1.1015</v>
      </c>
      <c r="P91" s="4">
        <v>1.092</v>
      </c>
      <c r="Q91" s="4">
        <v>1.144</v>
      </c>
      <c r="R91" s="4">
        <v>1.085</v>
      </c>
      <c r="S91" s="4">
        <v>1.1085</v>
      </c>
      <c r="T91" s="4">
        <v>1.1525</v>
      </c>
      <c r="U91" s="4">
        <v>1.1555</v>
      </c>
      <c r="V91" s="4">
        <v>1.204</v>
      </c>
      <c r="W91" s="4">
        <v>1.184</v>
      </c>
      <c r="X91" s="4">
        <v>1.188</v>
      </c>
      <c r="Y91" s="4">
        <v>1.1995</v>
      </c>
      <c r="Z91" s="4">
        <v>1.173</v>
      </c>
    </row>
    <row r="92" spans="2:26">
      <c r="B92" s="3">
        <v>18</v>
      </c>
      <c r="C92" s="4">
        <v>1.1335</v>
      </c>
      <c r="D92" s="4">
        <v>1.101</v>
      </c>
      <c r="E92" s="4">
        <v>1.116</v>
      </c>
      <c r="F92" s="4">
        <v>1.1605</v>
      </c>
      <c r="G92" s="4">
        <v>1.1235</v>
      </c>
      <c r="H92" s="4">
        <v>1.1505</v>
      </c>
      <c r="I92" s="4">
        <v>1.1005</v>
      </c>
      <c r="J92" s="4">
        <v>1.1265</v>
      </c>
      <c r="K92" s="4">
        <v>1.0945</v>
      </c>
      <c r="L92" s="4">
        <v>1.1125</v>
      </c>
      <c r="M92" s="4">
        <v>1.089</v>
      </c>
      <c r="N92" s="4">
        <v>1.115</v>
      </c>
      <c r="O92" s="4">
        <v>1.1325</v>
      </c>
      <c r="P92" s="4">
        <v>1.0945</v>
      </c>
      <c r="Q92" s="4">
        <v>1.1025</v>
      </c>
      <c r="R92" s="4">
        <v>1.066</v>
      </c>
      <c r="S92" s="4">
        <v>1.1005</v>
      </c>
      <c r="T92" s="4">
        <v>1.1055</v>
      </c>
      <c r="U92" s="4">
        <v>1.1205</v>
      </c>
      <c r="V92" s="4">
        <v>1.1025</v>
      </c>
      <c r="W92" s="4">
        <v>1.0685</v>
      </c>
      <c r="X92" s="4">
        <v>1.1205</v>
      </c>
      <c r="Y92" s="4">
        <v>1.137</v>
      </c>
      <c r="Z92" s="4">
        <v>1.1095</v>
      </c>
    </row>
    <row r="93" spans="2:26">
      <c r="B93" s="3">
        <v>19</v>
      </c>
      <c r="C93" s="4">
        <v>1.039</v>
      </c>
      <c r="D93" s="4">
        <v>1.0905</v>
      </c>
      <c r="E93" s="4">
        <v>1.1025</v>
      </c>
      <c r="F93" s="4">
        <v>1.0395</v>
      </c>
      <c r="G93" s="4">
        <v>1.0795</v>
      </c>
      <c r="H93" s="4">
        <v>1.136</v>
      </c>
      <c r="I93" s="4">
        <v>1.1285</v>
      </c>
      <c r="J93" s="4">
        <v>1.1785</v>
      </c>
      <c r="K93" s="4">
        <v>1.1365</v>
      </c>
      <c r="L93" s="4">
        <v>1.1335</v>
      </c>
      <c r="M93" s="4">
        <v>1.0965</v>
      </c>
      <c r="N93" s="4">
        <v>1.074</v>
      </c>
      <c r="O93" s="4">
        <v>1.0835</v>
      </c>
      <c r="P93" s="4">
        <v>1.122</v>
      </c>
      <c r="Q93" s="4">
        <v>1.1205</v>
      </c>
      <c r="R93" s="4">
        <v>1.152</v>
      </c>
      <c r="S93" s="4">
        <v>1.1305</v>
      </c>
      <c r="T93" s="4">
        <v>1.152</v>
      </c>
      <c r="U93" s="4">
        <v>1.1275</v>
      </c>
      <c r="V93" s="4">
        <v>1.1385</v>
      </c>
      <c r="W93" s="4">
        <v>1.158</v>
      </c>
      <c r="X93" s="4">
        <v>1.2125</v>
      </c>
      <c r="Y93" s="4">
        <v>1.1915</v>
      </c>
      <c r="Z93" s="4">
        <v>1.176</v>
      </c>
    </row>
    <row r="94" spans="2:26">
      <c r="B94" s="3">
        <v>20</v>
      </c>
      <c r="C94" s="4">
        <v>1.086</v>
      </c>
      <c r="D94" s="4">
        <v>1.1385</v>
      </c>
      <c r="E94" s="4">
        <v>1.0905</v>
      </c>
      <c r="F94" s="4">
        <v>1.0955</v>
      </c>
      <c r="G94" s="4">
        <v>1.1135</v>
      </c>
      <c r="H94" s="4">
        <v>1.086</v>
      </c>
      <c r="I94" s="4">
        <v>1.11</v>
      </c>
      <c r="J94" s="4">
        <v>1.124</v>
      </c>
      <c r="K94" s="4">
        <v>1.1345</v>
      </c>
      <c r="L94" s="4">
        <v>1.072</v>
      </c>
      <c r="M94" s="4">
        <v>1.093</v>
      </c>
      <c r="N94" s="4">
        <v>1.0605</v>
      </c>
      <c r="O94" s="4">
        <v>1.0845</v>
      </c>
      <c r="P94" s="4">
        <v>1.114</v>
      </c>
      <c r="Q94" s="4">
        <v>1.1655</v>
      </c>
      <c r="R94" s="4">
        <v>1.159</v>
      </c>
      <c r="S94" s="4">
        <v>1.165</v>
      </c>
      <c r="T94" s="4">
        <v>1.184</v>
      </c>
      <c r="U94" s="4">
        <v>1.136</v>
      </c>
      <c r="V94" s="4">
        <v>1.137</v>
      </c>
      <c r="W94" s="4">
        <v>1.205</v>
      </c>
      <c r="X94" s="4">
        <v>1.1635</v>
      </c>
      <c r="Y94" s="4">
        <v>1.119</v>
      </c>
      <c r="Z94" s="4">
        <v>1.11</v>
      </c>
    </row>
    <row r="95" spans="2:26">
      <c r="B95" s="3">
        <v>21</v>
      </c>
      <c r="C95" s="4">
        <v>1.1115</v>
      </c>
      <c r="D95" s="4">
        <v>1.033</v>
      </c>
      <c r="E95" s="4">
        <v>1.094</v>
      </c>
      <c r="F95" s="4">
        <v>1.0485</v>
      </c>
      <c r="G95" s="4">
        <v>1.0935</v>
      </c>
      <c r="H95" s="4">
        <v>1.063</v>
      </c>
      <c r="I95" s="4">
        <v>1.097</v>
      </c>
      <c r="J95" s="4">
        <v>1.0635</v>
      </c>
      <c r="K95" s="4">
        <v>1.087</v>
      </c>
      <c r="L95" s="4">
        <v>1.0905</v>
      </c>
      <c r="M95" s="4">
        <v>1.084</v>
      </c>
      <c r="N95" s="4">
        <v>1.119</v>
      </c>
      <c r="O95" s="4">
        <v>1.073</v>
      </c>
      <c r="P95" s="4">
        <v>1.0755</v>
      </c>
      <c r="Q95" s="4">
        <v>1.075</v>
      </c>
      <c r="R95" s="4">
        <v>1.1205</v>
      </c>
      <c r="S95" s="4">
        <v>1.1455</v>
      </c>
      <c r="T95" s="4">
        <v>1.166</v>
      </c>
      <c r="U95" s="4">
        <v>1.154</v>
      </c>
      <c r="V95" s="4">
        <v>1.2005</v>
      </c>
      <c r="W95" s="4">
        <v>1.2195</v>
      </c>
      <c r="X95" s="4">
        <v>1.193</v>
      </c>
      <c r="Y95" s="4">
        <v>1.2235</v>
      </c>
      <c r="Z95" s="4">
        <v>1.1845</v>
      </c>
    </row>
    <row r="96" spans="2:26">
      <c r="B96" s="3">
        <v>22</v>
      </c>
      <c r="C96" s="4">
        <v>1.177</v>
      </c>
      <c r="D96" s="4">
        <v>1.148</v>
      </c>
      <c r="E96" s="4">
        <v>1.135</v>
      </c>
      <c r="F96" s="4">
        <v>1.111</v>
      </c>
      <c r="G96" s="4">
        <v>1.1325</v>
      </c>
      <c r="H96" s="4">
        <v>1.1045</v>
      </c>
      <c r="I96" s="4">
        <v>1.1445</v>
      </c>
      <c r="J96" s="4">
        <v>1.172</v>
      </c>
      <c r="K96" s="4">
        <v>1.082</v>
      </c>
      <c r="L96" s="4">
        <v>1.083</v>
      </c>
      <c r="M96" s="4">
        <v>1.104</v>
      </c>
      <c r="N96" s="4">
        <v>1.098</v>
      </c>
      <c r="O96" s="4">
        <v>1.1325</v>
      </c>
      <c r="P96" s="4">
        <v>1.144</v>
      </c>
      <c r="Q96" s="4">
        <v>1.1295</v>
      </c>
      <c r="R96" s="4">
        <v>1.143</v>
      </c>
      <c r="S96" s="4">
        <v>1.083</v>
      </c>
      <c r="T96" s="4">
        <v>1.121</v>
      </c>
      <c r="U96" s="4">
        <v>1.1135</v>
      </c>
      <c r="V96" s="4">
        <v>1.101</v>
      </c>
      <c r="W96" s="4">
        <v>1.145</v>
      </c>
      <c r="X96" s="4">
        <v>1.214</v>
      </c>
      <c r="Y96" s="4">
        <v>1.187</v>
      </c>
      <c r="Z96" s="4">
        <v>1.1445</v>
      </c>
    </row>
    <row r="97" spans="2:26">
      <c r="B97" s="3">
        <v>23</v>
      </c>
      <c r="C97" s="4">
        <v>1.1265</v>
      </c>
      <c r="D97" s="4">
        <v>1.117</v>
      </c>
      <c r="E97" s="4">
        <v>1.096</v>
      </c>
      <c r="F97" s="4">
        <v>1.1015</v>
      </c>
      <c r="G97" s="4">
        <v>1.0695</v>
      </c>
      <c r="H97" s="4">
        <v>1.1175</v>
      </c>
      <c r="I97" s="4">
        <v>1.0855</v>
      </c>
      <c r="J97" s="4">
        <v>1.117</v>
      </c>
      <c r="K97" s="4">
        <v>1.1325</v>
      </c>
      <c r="L97" s="4">
        <v>1.0795</v>
      </c>
      <c r="M97" s="4">
        <v>1.1095</v>
      </c>
      <c r="N97" s="4">
        <v>1.1135</v>
      </c>
      <c r="O97" s="4">
        <v>1.11</v>
      </c>
      <c r="P97" s="4">
        <v>1.087</v>
      </c>
      <c r="Q97" s="4">
        <v>1.0625</v>
      </c>
      <c r="R97" s="4">
        <v>1.0085</v>
      </c>
      <c r="S97" s="4">
        <v>1.1065</v>
      </c>
      <c r="T97" s="4">
        <v>1.1695</v>
      </c>
      <c r="U97" s="4">
        <v>1.1565</v>
      </c>
      <c r="V97" s="4">
        <v>1.1485</v>
      </c>
      <c r="W97" s="4">
        <v>1.1365</v>
      </c>
      <c r="X97" s="4">
        <v>1.1635</v>
      </c>
      <c r="Y97" s="4">
        <v>1.1525</v>
      </c>
      <c r="Z97" s="4">
        <v>1.154</v>
      </c>
    </row>
    <row r="98" spans="2:26">
      <c r="B98" s="3">
        <v>24</v>
      </c>
      <c r="C98" s="4">
        <v>1.1635</v>
      </c>
      <c r="D98" s="4">
        <v>1.1355</v>
      </c>
      <c r="E98" s="4">
        <v>1.127</v>
      </c>
      <c r="F98" s="4">
        <v>1.1575</v>
      </c>
      <c r="G98" s="4">
        <v>1.132</v>
      </c>
      <c r="H98" s="4">
        <v>1.179</v>
      </c>
      <c r="I98" s="4">
        <v>1.179</v>
      </c>
      <c r="J98" s="4">
        <v>1.1605</v>
      </c>
      <c r="K98" s="4">
        <v>1.107</v>
      </c>
      <c r="L98" s="4">
        <v>1.126</v>
      </c>
      <c r="M98" s="4">
        <v>1.129</v>
      </c>
      <c r="N98" s="4">
        <v>1.111</v>
      </c>
      <c r="O98" s="4">
        <v>1.1565</v>
      </c>
      <c r="P98" s="4">
        <v>1.1535</v>
      </c>
      <c r="Q98" s="4">
        <v>1.1205</v>
      </c>
      <c r="R98" s="4">
        <v>1.15</v>
      </c>
      <c r="S98" s="4">
        <v>1.1295</v>
      </c>
      <c r="T98" s="4">
        <v>1.138</v>
      </c>
      <c r="U98" s="4">
        <v>1.143</v>
      </c>
      <c r="V98" s="4">
        <v>1.1155</v>
      </c>
      <c r="W98" s="4">
        <v>1.14</v>
      </c>
      <c r="X98" s="4">
        <v>1.16</v>
      </c>
      <c r="Y98" s="4">
        <v>1.162</v>
      </c>
      <c r="Z98" s="4">
        <v>1.0725</v>
      </c>
    </row>
    <row r="99" spans="2:26">
      <c r="B99" s="3">
        <v>25</v>
      </c>
      <c r="C99" s="4">
        <v>1.0825</v>
      </c>
      <c r="D99" s="4">
        <v>1.033</v>
      </c>
      <c r="E99" s="4">
        <v>1.0715</v>
      </c>
      <c r="F99" s="4">
        <v>1.0475</v>
      </c>
      <c r="G99" s="4">
        <v>1.056</v>
      </c>
      <c r="H99" s="4">
        <v>1.034</v>
      </c>
      <c r="I99" s="4">
        <v>1.131</v>
      </c>
      <c r="J99" s="4">
        <v>1.1405</v>
      </c>
      <c r="K99" s="4">
        <v>1.1015</v>
      </c>
      <c r="L99" s="4">
        <v>1.065</v>
      </c>
      <c r="M99" s="4">
        <v>1.042</v>
      </c>
      <c r="N99" s="4">
        <v>1.0485</v>
      </c>
      <c r="O99" s="4">
        <v>1.091</v>
      </c>
      <c r="P99" s="4">
        <v>1.052</v>
      </c>
      <c r="Q99" s="4">
        <v>1.098</v>
      </c>
      <c r="R99" s="4">
        <v>1.106</v>
      </c>
      <c r="S99" s="4">
        <v>1.0915</v>
      </c>
      <c r="T99" s="4">
        <v>1.1235</v>
      </c>
      <c r="U99" s="4">
        <v>1.09</v>
      </c>
      <c r="V99" s="4">
        <v>1.097</v>
      </c>
      <c r="W99" s="4">
        <v>1.1465</v>
      </c>
      <c r="X99" s="4">
        <v>1.204</v>
      </c>
      <c r="Y99" s="4">
        <v>1.175</v>
      </c>
      <c r="Z99" s="4">
        <v>1.128</v>
      </c>
    </row>
    <row r="100" spans="2:26">
      <c r="B100" s="3">
        <v>26</v>
      </c>
      <c r="C100" s="4">
        <v>1.163</v>
      </c>
      <c r="D100" s="4">
        <v>1.0945</v>
      </c>
      <c r="E100" s="4">
        <v>1.166</v>
      </c>
      <c r="F100" s="4">
        <v>1.0915</v>
      </c>
      <c r="G100" s="4">
        <v>1.134</v>
      </c>
      <c r="H100" s="4">
        <v>1.1055</v>
      </c>
      <c r="I100" s="4">
        <v>1.078</v>
      </c>
      <c r="J100" s="4">
        <v>1.1635</v>
      </c>
      <c r="K100" s="4">
        <v>1.1085</v>
      </c>
      <c r="L100" s="4">
        <v>1.016</v>
      </c>
      <c r="M100" s="4">
        <v>1.0445</v>
      </c>
      <c r="N100" s="4">
        <v>1.0975</v>
      </c>
      <c r="O100" s="4">
        <v>1.0885</v>
      </c>
      <c r="P100" s="4">
        <v>1.142</v>
      </c>
      <c r="Q100" s="4">
        <v>1.16</v>
      </c>
      <c r="R100" s="4">
        <v>1.1235</v>
      </c>
      <c r="S100" s="4">
        <v>1.074</v>
      </c>
      <c r="T100" s="4">
        <v>1.089</v>
      </c>
      <c r="U100" s="4">
        <v>1.0655</v>
      </c>
      <c r="V100" s="4">
        <v>1.067</v>
      </c>
      <c r="W100" s="4">
        <v>1.1195</v>
      </c>
      <c r="X100" s="4">
        <v>1.1785</v>
      </c>
      <c r="Y100" s="4">
        <v>1.182</v>
      </c>
      <c r="Z100" s="4">
        <v>1.153</v>
      </c>
    </row>
    <row r="101" spans="2:26">
      <c r="B101" s="3">
        <v>27</v>
      </c>
      <c r="C101" s="4">
        <v>1.184</v>
      </c>
      <c r="D101" s="4">
        <v>1.0695</v>
      </c>
      <c r="E101" s="4">
        <v>1.1095</v>
      </c>
      <c r="F101" s="4">
        <v>1.0855</v>
      </c>
      <c r="G101" s="4">
        <v>1.0775</v>
      </c>
      <c r="H101" s="4">
        <v>1.087</v>
      </c>
      <c r="I101" s="4">
        <v>1.077</v>
      </c>
      <c r="J101" s="4">
        <v>1.1005</v>
      </c>
      <c r="K101" s="4">
        <v>1.0955</v>
      </c>
      <c r="L101" s="4">
        <v>1.1035</v>
      </c>
      <c r="M101" s="4">
        <v>1.11</v>
      </c>
      <c r="N101" s="4">
        <v>1.084</v>
      </c>
      <c r="O101" s="4">
        <v>1.141</v>
      </c>
      <c r="P101" s="4">
        <v>1.1355</v>
      </c>
      <c r="Q101" s="4">
        <v>1.1325</v>
      </c>
      <c r="R101" s="4">
        <v>1.171</v>
      </c>
      <c r="S101" s="4">
        <v>1.1145</v>
      </c>
      <c r="T101" s="4">
        <v>1.141</v>
      </c>
      <c r="U101" s="4">
        <v>1.1405</v>
      </c>
      <c r="V101" s="4">
        <v>1.1625</v>
      </c>
      <c r="W101" s="4">
        <v>1.175</v>
      </c>
      <c r="X101" s="4">
        <v>1.2065</v>
      </c>
      <c r="Y101" s="4">
        <v>1.2475</v>
      </c>
      <c r="Z101" s="4">
        <v>1.1955</v>
      </c>
    </row>
    <row r="102" spans="2:26">
      <c r="B102" s="3">
        <v>28</v>
      </c>
      <c r="C102" s="4">
        <v>1.1115</v>
      </c>
      <c r="D102" s="4">
        <v>1.1615</v>
      </c>
      <c r="E102" s="4">
        <v>1.099</v>
      </c>
      <c r="F102" s="4">
        <v>1.156</v>
      </c>
      <c r="G102" s="4">
        <v>1.092</v>
      </c>
      <c r="H102" s="4">
        <v>1.143</v>
      </c>
      <c r="I102" s="4">
        <v>1.1175</v>
      </c>
      <c r="J102" s="4">
        <v>1.133</v>
      </c>
      <c r="K102" s="4">
        <v>1.099</v>
      </c>
      <c r="L102" s="4">
        <v>1.1565</v>
      </c>
      <c r="M102" s="4">
        <v>1.1385</v>
      </c>
      <c r="N102" s="4">
        <v>1.104</v>
      </c>
      <c r="O102" s="4">
        <v>1.163</v>
      </c>
      <c r="P102" s="4">
        <v>1.205</v>
      </c>
      <c r="Q102" s="4">
        <v>1.1555</v>
      </c>
      <c r="R102" s="4">
        <v>1.1535</v>
      </c>
      <c r="S102" s="4">
        <v>1.133</v>
      </c>
      <c r="T102" s="4">
        <v>1.1365</v>
      </c>
      <c r="U102" s="4">
        <v>1.1385</v>
      </c>
      <c r="V102" s="4">
        <v>1.1165</v>
      </c>
      <c r="W102" s="4">
        <v>1.131</v>
      </c>
      <c r="X102" s="4">
        <v>1.1555</v>
      </c>
      <c r="Y102" s="4">
        <v>1.124</v>
      </c>
      <c r="Z102" s="4">
        <v>1.1715</v>
      </c>
    </row>
    <row r="103" spans="2:26">
      <c r="B103" s="3">
        <v>29</v>
      </c>
      <c r="C103" s="4">
        <v>1.0655</v>
      </c>
      <c r="D103" s="4">
        <v>1.142</v>
      </c>
      <c r="E103" s="4">
        <v>1.091</v>
      </c>
      <c r="F103" s="4">
        <v>1.143</v>
      </c>
      <c r="G103" s="4">
        <v>1.123</v>
      </c>
      <c r="H103" s="4">
        <v>1.195</v>
      </c>
      <c r="I103" s="4">
        <v>1.133</v>
      </c>
      <c r="J103" s="4">
        <v>1.1075</v>
      </c>
      <c r="K103" s="4">
        <v>1.0065</v>
      </c>
      <c r="L103" s="4">
        <v>1.0675</v>
      </c>
      <c r="M103" s="4">
        <v>1.0575</v>
      </c>
      <c r="N103" s="4">
        <v>1.0755</v>
      </c>
      <c r="O103" s="4">
        <v>1.099</v>
      </c>
      <c r="P103" s="4">
        <v>1.087</v>
      </c>
      <c r="Q103" s="4">
        <v>1.0985</v>
      </c>
      <c r="R103" s="4">
        <v>1.1</v>
      </c>
      <c r="S103" s="4">
        <v>1.0955</v>
      </c>
      <c r="T103" s="4">
        <v>1.1345</v>
      </c>
      <c r="U103" s="4">
        <v>1.1355</v>
      </c>
      <c r="V103" s="4">
        <v>1.1575</v>
      </c>
      <c r="W103" s="4">
        <v>1.1925</v>
      </c>
      <c r="X103" s="4">
        <v>1.139</v>
      </c>
      <c r="Y103" s="4">
        <v>1.1675</v>
      </c>
      <c r="Z103" s="4">
        <v>1.116</v>
      </c>
    </row>
    <row r="104" spans="2:26">
      <c r="B104" s="3">
        <v>30</v>
      </c>
      <c r="C104" s="4">
        <v>1.113</v>
      </c>
      <c r="D104" s="4">
        <v>1.142</v>
      </c>
      <c r="E104" s="4">
        <v>1.107</v>
      </c>
      <c r="F104" s="4">
        <v>1.0635</v>
      </c>
      <c r="G104" s="4">
        <v>1.1305</v>
      </c>
      <c r="H104" s="4">
        <v>1.107</v>
      </c>
      <c r="I104" s="4">
        <v>1.117</v>
      </c>
      <c r="J104" s="4">
        <v>1.13</v>
      </c>
      <c r="K104" s="4">
        <v>1.085</v>
      </c>
      <c r="L104" s="4">
        <v>1.0155</v>
      </c>
      <c r="M104" s="4">
        <v>1.0325</v>
      </c>
      <c r="N104" s="4">
        <v>1.075</v>
      </c>
      <c r="O104" s="4">
        <v>1.0515</v>
      </c>
      <c r="P104" s="4">
        <v>1.073</v>
      </c>
      <c r="Q104" s="4">
        <v>1.0795</v>
      </c>
      <c r="R104" s="4">
        <v>1.0585</v>
      </c>
      <c r="S104" s="4">
        <v>1.066</v>
      </c>
      <c r="T104" s="4">
        <v>1.072</v>
      </c>
      <c r="U104" s="4">
        <v>1.054</v>
      </c>
      <c r="V104" s="4">
        <v>1.0675</v>
      </c>
      <c r="W104" s="4">
        <v>1.1345</v>
      </c>
      <c r="X104" s="4">
        <v>1.215</v>
      </c>
      <c r="Y104" s="4">
        <v>1.14</v>
      </c>
      <c r="Z104" s="4">
        <v>1.1075</v>
      </c>
    </row>
    <row r="105" spans="2:26">
      <c r="B105" s="3">
        <v>31</v>
      </c>
      <c r="C105" s="4">
        <v>1.129</v>
      </c>
      <c r="D105" s="4">
        <v>1.1485</v>
      </c>
      <c r="E105" s="4">
        <v>1.1355</v>
      </c>
      <c r="F105" s="4">
        <v>1.1055</v>
      </c>
      <c r="G105" s="4">
        <v>1.091</v>
      </c>
      <c r="H105" s="4">
        <v>1.04</v>
      </c>
      <c r="I105" s="4">
        <v>1.087</v>
      </c>
      <c r="J105" s="4">
        <v>1.204</v>
      </c>
      <c r="K105" s="4">
        <v>1.1375</v>
      </c>
      <c r="L105" s="4">
        <v>1.046</v>
      </c>
      <c r="M105" s="4">
        <v>1.07</v>
      </c>
      <c r="N105" s="4">
        <v>1.1245</v>
      </c>
      <c r="O105" s="4">
        <v>1.0965</v>
      </c>
      <c r="P105" s="4">
        <v>1.101</v>
      </c>
      <c r="Q105" s="4">
        <v>1.073</v>
      </c>
      <c r="R105" s="4">
        <v>1.091</v>
      </c>
      <c r="S105" s="4">
        <v>1.1145</v>
      </c>
      <c r="T105" s="4">
        <v>1.139</v>
      </c>
      <c r="U105" s="4">
        <v>1.149</v>
      </c>
      <c r="V105" s="4">
        <v>1.1465</v>
      </c>
      <c r="W105" s="4">
        <v>1.1505</v>
      </c>
      <c r="X105" s="4">
        <v>1.155</v>
      </c>
      <c r="Y105" s="4">
        <v>1.1635</v>
      </c>
      <c r="Z105" s="4">
        <v>1.114</v>
      </c>
    </row>
    <row r="106" spans="2:26">
      <c r="Y106" s="5" t="s">
        <v>31</v>
      </c>
      <c r="Z106" s="6">
        <v>16403.65</v>
      </c>
    </row>
    <row r="109" spans="2:26">
      <c r="B109" t="s">
        <v>34</v>
      </c>
    </row>
  </sheetData>
  <mergeCells count="2">
    <mergeCell ref="B5:B6"/>
    <mergeCell ref="C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sheetFormatPr defaultRowHeight="15"/>
  <cols>
    <col min="1" max="1" width="3" customWidth="1"/>
    <col min="2" max="26" width="12" customWidth="1"/>
  </cols>
  <sheetData>
    <row r="1" spans="1:26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G2" s="7" t="s">
        <v>36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6">
      <c r="B3" t="s">
        <v>37</v>
      </c>
      <c r="X3" t="s">
        <v>38</v>
      </c>
    </row>
    <row r="5" spans="1:26">
      <c r="B5" s="3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B6" s="3"/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</row>
    <row r="7" spans="1:26">
      <c r="B7" s="3">
        <v>1</v>
      </c>
      <c r="C7" s="4">
        <f>Worksheet!C7*120 + Worksheet!C41*120 + Worksheet!C75*20</f>
        <v>0</v>
      </c>
      <c r="D7" s="4">
        <f>Worksheet!D7*120 + Worksheet!D41*120 + Worksheet!D75*20</f>
        <v>0</v>
      </c>
      <c r="E7" s="4">
        <f>Worksheet!E7*120 + Worksheet!E41*120 + Worksheet!E75*20</f>
        <v>0</v>
      </c>
      <c r="F7" s="4">
        <f>Worksheet!F7*120 + Worksheet!F41*120 + Worksheet!F75*20</f>
        <v>0</v>
      </c>
      <c r="G7" s="4">
        <f>Worksheet!G7*120 + Worksheet!G41*120 + Worksheet!G75*20</f>
        <v>0</v>
      </c>
      <c r="H7" s="4">
        <f>Worksheet!H7*120 + Worksheet!H41*120 + Worksheet!H75*20</f>
        <v>0</v>
      </c>
      <c r="I7" s="4">
        <f>Worksheet!I7*120 + Worksheet!I41*120 + Worksheet!I75*20</f>
        <v>0</v>
      </c>
      <c r="J7" s="4">
        <f>Worksheet!J7*120 + Worksheet!J41*120 + Worksheet!J75*20</f>
        <v>0</v>
      </c>
      <c r="K7" s="4">
        <f>Worksheet!K7*120 + Worksheet!K41*120 + Worksheet!K75*20</f>
        <v>0</v>
      </c>
      <c r="L7" s="4">
        <f>Worksheet!L7*120 + Worksheet!L41*120 + Worksheet!L75*20</f>
        <v>0</v>
      </c>
      <c r="M7" s="4">
        <f>Worksheet!M7*120 + Worksheet!M41*120 + Worksheet!M75*20</f>
        <v>0</v>
      </c>
      <c r="N7" s="4">
        <f>Worksheet!N7*120 + Worksheet!N41*120 + Worksheet!N75*20</f>
        <v>0</v>
      </c>
      <c r="O7" s="4">
        <f>Worksheet!O7*120 + Worksheet!O41*120 + Worksheet!O75*20</f>
        <v>0</v>
      </c>
      <c r="P7" s="4">
        <f>Worksheet!P7*120 + Worksheet!P41*120 + Worksheet!P75*20</f>
        <v>0</v>
      </c>
      <c r="Q7" s="4">
        <f>Worksheet!Q7*120 + Worksheet!Q41*120 + Worksheet!Q75*20</f>
        <v>0</v>
      </c>
      <c r="R7" s="4">
        <f>Worksheet!R7*120 + Worksheet!R41*120 + Worksheet!R75*20</f>
        <v>0</v>
      </c>
      <c r="S7" s="4">
        <f>Worksheet!S7*120 + Worksheet!S41*120 + Worksheet!S75*20</f>
        <v>0</v>
      </c>
      <c r="T7" s="4">
        <f>Worksheet!T7*120 + Worksheet!T41*120 + Worksheet!T75*20</f>
        <v>0</v>
      </c>
      <c r="U7" s="4">
        <f>Worksheet!U7*120 + Worksheet!U41*120 + Worksheet!U75*20</f>
        <v>0</v>
      </c>
      <c r="V7" s="4">
        <f>Worksheet!V7*120 + Worksheet!V41*120 + Worksheet!V75*20</f>
        <v>0</v>
      </c>
      <c r="W7" s="4">
        <f>Worksheet!W7*120 + Worksheet!W41*120 + Worksheet!W75*20</f>
        <v>0</v>
      </c>
      <c r="X7" s="4">
        <f>Worksheet!X7*120 + Worksheet!X41*120 + Worksheet!X75*20</f>
        <v>0</v>
      </c>
      <c r="Y7" s="4">
        <f>Worksheet!Y7*120 + Worksheet!Y41*120 + Worksheet!Y75*20</f>
        <v>0</v>
      </c>
      <c r="Z7" s="4">
        <f>Worksheet!Z7*120 + Worksheet!Z41*120 + Worksheet!Z75*20</f>
        <v>0</v>
      </c>
    </row>
    <row r="8" spans="1:26">
      <c r="B8" s="3">
        <v>2</v>
      </c>
      <c r="C8" s="4">
        <f>Worksheet!C8*120 + Worksheet!C42*120 + Worksheet!C76*20</f>
        <v>0</v>
      </c>
      <c r="D8" s="4">
        <f>Worksheet!D8*120 + Worksheet!D42*120 + Worksheet!D76*20</f>
        <v>0</v>
      </c>
      <c r="E8" s="4">
        <f>Worksheet!E8*120 + Worksheet!E42*120 + Worksheet!E76*20</f>
        <v>0</v>
      </c>
      <c r="F8" s="4">
        <f>Worksheet!F8*120 + Worksheet!F42*120 + Worksheet!F76*20</f>
        <v>0</v>
      </c>
      <c r="G8" s="4">
        <f>Worksheet!G8*120 + Worksheet!G42*120 + Worksheet!G76*20</f>
        <v>0</v>
      </c>
      <c r="H8" s="4">
        <f>Worksheet!H8*120 + Worksheet!H42*120 + Worksheet!H76*20</f>
        <v>0</v>
      </c>
      <c r="I8" s="4">
        <f>Worksheet!I8*120 + Worksheet!I42*120 + Worksheet!I76*20</f>
        <v>0</v>
      </c>
      <c r="J8" s="4">
        <f>Worksheet!J8*120 + Worksheet!J42*120 + Worksheet!J76*20</f>
        <v>0</v>
      </c>
      <c r="K8" s="4">
        <f>Worksheet!K8*120 + Worksheet!K42*120 + Worksheet!K76*20</f>
        <v>0</v>
      </c>
      <c r="L8" s="4">
        <f>Worksheet!L8*120 + Worksheet!L42*120 + Worksheet!L76*20</f>
        <v>0</v>
      </c>
      <c r="M8" s="4">
        <f>Worksheet!M8*120 + Worksheet!M42*120 + Worksheet!M76*20</f>
        <v>0</v>
      </c>
      <c r="N8" s="4">
        <f>Worksheet!N8*120 + Worksheet!N42*120 + Worksheet!N76*20</f>
        <v>0</v>
      </c>
      <c r="O8" s="4">
        <f>Worksheet!O8*120 + Worksheet!O42*120 + Worksheet!O76*20</f>
        <v>0</v>
      </c>
      <c r="P8" s="4">
        <f>Worksheet!P8*120 + Worksheet!P42*120 + Worksheet!P76*20</f>
        <v>0</v>
      </c>
      <c r="Q8" s="4">
        <f>Worksheet!Q8*120 + Worksheet!Q42*120 + Worksheet!Q76*20</f>
        <v>0</v>
      </c>
      <c r="R8" s="4">
        <f>Worksheet!R8*120 + Worksheet!R42*120 + Worksheet!R76*20</f>
        <v>0</v>
      </c>
      <c r="S8" s="4">
        <f>Worksheet!S8*120 + Worksheet!S42*120 + Worksheet!S76*20</f>
        <v>0</v>
      </c>
      <c r="T8" s="4">
        <f>Worksheet!T8*120 + Worksheet!T42*120 + Worksheet!T76*20</f>
        <v>0</v>
      </c>
      <c r="U8" s="4">
        <f>Worksheet!U8*120 + Worksheet!U42*120 + Worksheet!U76*20</f>
        <v>0</v>
      </c>
      <c r="V8" s="4">
        <f>Worksheet!V8*120 + Worksheet!V42*120 + Worksheet!V76*20</f>
        <v>0</v>
      </c>
      <c r="W8" s="4">
        <f>Worksheet!W8*120 + Worksheet!W42*120 + Worksheet!W76*20</f>
        <v>0</v>
      </c>
      <c r="X8" s="4">
        <f>Worksheet!X8*120 + Worksheet!X42*120 + Worksheet!X76*20</f>
        <v>0</v>
      </c>
      <c r="Y8" s="4">
        <f>Worksheet!Y8*120 + Worksheet!Y42*120 + Worksheet!Y76*20</f>
        <v>0</v>
      </c>
      <c r="Z8" s="4">
        <f>Worksheet!Z8*120 + Worksheet!Z42*120 + Worksheet!Z76*20</f>
        <v>0</v>
      </c>
    </row>
    <row r="9" spans="1:26">
      <c r="B9" s="3">
        <v>3</v>
      </c>
      <c r="C9" s="4">
        <f>Worksheet!C9*120 + Worksheet!C43*120 + Worksheet!C77*20</f>
        <v>0</v>
      </c>
      <c r="D9" s="4">
        <f>Worksheet!D9*120 + Worksheet!D43*120 + Worksheet!D77*20</f>
        <v>0</v>
      </c>
      <c r="E9" s="4">
        <f>Worksheet!E9*120 + Worksheet!E43*120 + Worksheet!E77*20</f>
        <v>0</v>
      </c>
      <c r="F9" s="4">
        <f>Worksheet!F9*120 + Worksheet!F43*120 + Worksheet!F77*20</f>
        <v>0</v>
      </c>
      <c r="G9" s="4">
        <f>Worksheet!G9*120 + Worksheet!G43*120 + Worksheet!G77*20</f>
        <v>0</v>
      </c>
      <c r="H9" s="4">
        <f>Worksheet!H9*120 + Worksheet!H43*120 + Worksheet!H77*20</f>
        <v>0</v>
      </c>
      <c r="I9" s="4">
        <f>Worksheet!I9*120 + Worksheet!I43*120 + Worksheet!I77*20</f>
        <v>0</v>
      </c>
      <c r="J9" s="4">
        <f>Worksheet!J9*120 + Worksheet!J43*120 + Worksheet!J77*20</f>
        <v>0</v>
      </c>
      <c r="K9" s="4">
        <f>Worksheet!K9*120 + Worksheet!K43*120 + Worksheet!K77*20</f>
        <v>0</v>
      </c>
      <c r="L9" s="4">
        <f>Worksheet!L9*120 + Worksheet!L43*120 + Worksheet!L77*20</f>
        <v>0</v>
      </c>
      <c r="M9" s="4">
        <f>Worksheet!M9*120 + Worksheet!M43*120 + Worksheet!M77*20</f>
        <v>0</v>
      </c>
      <c r="N9" s="4">
        <f>Worksheet!N9*120 + Worksheet!N43*120 + Worksheet!N77*20</f>
        <v>0</v>
      </c>
      <c r="O9" s="4">
        <f>Worksheet!O9*120 + Worksheet!O43*120 + Worksheet!O77*20</f>
        <v>0</v>
      </c>
      <c r="P9" s="4">
        <f>Worksheet!P9*120 + Worksheet!P43*120 + Worksheet!P77*20</f>
        <v>0</v>
      </c>
      <c r="Q9" s="4">
        <f>Worksheet!Q9*120 + Worksheet!Q43*120 + Worksheet!Q77*20</f>
        <v>0</v>
      </c>
      <c r="R9" s="4">
        <f>Worksheet!R9*120 + Worksheet!R43*120 + Worksheet!R77*20</f>
        <v>0</v>
      </c>
      <c r="S9" s="4">
        <f>Worksheet!S9*120 + Worksheet!S43*120 + Worksheet!S77*20</f>
        <v>0</v>
      </c>
      <c r="T9" s="4">
        <f>Worksheet!T9*120 + Worksheet!T43*120 + Worksheet!T77*20</f>
        <v>0</v>
      </c>
      <c r="U9" s="4">
        <f>Worksheet!U9*120 + Worksheet!U43*120 + Worksheet!U77*20</f>
        <v>0</v>
      </c>
      <c r="V9" s="4">
        <f>Worksheet!V9*120 + Worksheet!V43*120 + Worksheet!V77*20</f>
        <v>0</v>
      </c>
      <c r="W9" s="4">
        <f>Worksheet!W9*120 + Worksheet!W43*120 + Worksheet!W77*20</f>
        <v>0</v>
      </c>
      <c r="X9" s="4">
        <f>Worksheet!X9*120 + Worksheet!X43*120 + Worksheet!X77*20</f>
        <v>0</v>
      </c>
      <c r="Y9" s="4">
        <f>Worksheet!Y9*120 + Worksheet!Y43*120 + Worksheet!Y77*20</f>
        <v>0</v>
      </c>
      <c r="Z9" s="4">
        <f>Worksheet!Z9*120 + Worksheet!Z43*120 + Worksheet!Z77*20</f>
        <v>0</v>
      </c>
    </row>
    <row r="10" spans="1:26">
      <c r="B10" s="3">
        <v>4</v>
      </c>
      <c r="C10" s="4">
        <f>Worksheet!C10*120 + Worksheet!C44*120 + Worksheet!C78*20</f>
        <v>0</v>
      </c>
      <c r="D10" s="4">
        <f>Worksheet!D10*120 + Worksheet!D44*120 + Worksheet!D78*20</f>
        <v>0</v>
      </c>
      <c r="E10" s="4">
        <f>Worksheet!E10*120 + Worksheet!E44*120 + Worksheet!E78*20</f>
        <v>0</v>
      </c>
      <c r="F10" s="4">
        <f>Worksheet!F10*120 + Worksheet!F44*120 + Worksheet!F78*20</f>
        <v>0</v>
      </c>
      <c r="G10" s="4">
        <f>Worksheet!G10*120 + Worksheet!G44*120 + Worksheet!G78*20</f>
        <v>0</v>
      </c>
      <c r="H10" s="4">
        <f>Worksheet!H10*120 + Worksheet!H44*120 + Worksheet!H78*20</f>
        <v>0</v>
      </c>
      <c r="I10" s="4">
        <f>Worksheet!I10*120 + Worksheet!I44*120 + Worksheet!I78*20</f>
        <v>0</v>
      </c>
      <c r="J10" s="4">
        <f>Worksheet!J10*120 + Worksheet!J44*120 + Worksheet!J78*20</f>
        <v>0</v>
      </c>
      <c r="K10" s="4">
        <f>Worksheet!K10*120 + Worksheet!K44*120 + Worksheet!K78*20</f>
        <v>0</v>
      </c>
      <c r="L10" s="4">
        <f>Worksheet!L10*120 + Worksheet!L44*120 + Worksheet!L78*20</f>
        <v>0</v>
      </c>
      <c r="M10" s="4">
        <f>Worksheet!M10*120 + Worksheet!M44*120 + Worksheet!M78*20</f>
        <v>0</v>
      </c>
      <c r="N10" s="4">
        <f>Worksheet!N10*120 + Worksheet!N44*120 + Worksheet!N78*20</f>
        <v>0</v>
      </c>
      <c r="O10" s="4">
        <f>Worksheet!O10*120 + Worksheet!O44*120 + Worksheet!O78*20</f>
        <v>0</v>
      </c>
      <c r="P10" s="4">
        <f>Worksheet!P10*120 + Worksheet!P44*120 + Worksheet!P78*20</f>
        <v>0</v>
      </c>
      <c r="Q10" s="4">
        <f>Worksheet!Q10*120 + Worksheet!Q44*120 + Worksheet!Q78*20</f>
        <v>0</v>
      </c>
      <c r="R10" s="4">
        <f>Worksheet!R10*120 + Worksheet!R44*120 + Worksheet!R78*20</f>
        <v>0</v>
      </c>
      <c r="S10" s="4">
        <f>Worksheet!S10*120 + Worksheet!S44*120 + Worksheet!S78*20</f>
        <v>0</v>
      </c>
      <c r="T10" s="4">
        <f>Worksheet!T10*120 + Worksheet!T44*120 + Worksheet!T78*20</f>
        <v>0</v>
      </c>
      <c r="U10" s="4">
        <f>Worksheet!U10*120 + Worksheet!U44*120 + Worksheet!U78*20</f>
        <v>0</v>
      </c>
      <c r="V10" s="4">
        <f>Worksheet!V10*120 + Worksheet!V44*120 + Worksheet!V78*20</f>
        <v>0</v>
      </c>
      <c r="W10" s="4">
        <f>Worksheet!W10*120 + Worksheet!W44*120 + Worksheet!W78*20</f>
        <v>0</v>
      </c>
      <c r="X10" s="4">
        <f>Worksheet!X10*120 + Worksheet!X44*120 + Worksheet!X78*20</f>
        <v>0</v>
      </c>
      <c r="Y10" s="4">
        <f>Worksheet!Y10*120 + Worksheet!Y44*120 + Worksheet!Y78*20</f>
        <v>0</v>
      </c>
      <c r="Z10" s="4">
        <f>Worksheet!Z10*120 + Worksheet!Z44*120 + Worksheet!Z78*20</f>
        <v>0</v>
      </c>
    </row>
    <row r="11" spans="1:26">
      <c r="B11" s="3">
        <v>5</v>
      </c>
      <c r="C11" s="4">
        <f>Worksheet!C11*120 + Worksheet!C45*120 + Worksheet!C79*20</f>
        <v>0</v>
      </c>
      <c r="D11" s="4">
        <f>Worksheet!D11*120 + Worksheet!D45*120 + Worksheet!D79*20</f>
        <v>0</v>
      </c>
      <c r="E11" s="4">
        <f>Worksheet!E11*120 + Worksheet!E45*120 + Worksheet!E79*20</f>
        <v>0</v>
      </c>
      <c r="F11" s="4">
        <f>Worksheet!F11*120 + Worksheet!F45*120 + Worksheet!F79*20</f>
        <v>0</v>
      </c>
      <c r="G11" s="4">
        <f>Worksheet!G11*120 + Worksheet!G45*120 + Worksheet!G79*20</f>
        <v>0</v>
      </c>
      <c r="H11" s="4">
        <f>Worksheet!H11*120 + Worksheet!H45*120 + Worksheet!H79*20</f>
        <v>0</v>
      </c>
      <c r="I11" s="4">
        <f>Worksheet!I11*120 + Worksheet!I45*120 + Worksheet!I79*20</f>
        <v>0</v>
      </c>
      <c r="J11" s="4">
        <f>Worksheet!J11*120 + Worksheet!J45*120 + Worksheet!J79*20</f>
        <v>0</v>
      </c>
      <c r="K11" s="4">
        <f>Worksheet!K11*120 + Worksheet!K45*120 + Worksheet!K79*20</f>
        <v>0</v>
      </c>
      <c r="L11" s="4">
        <f>Worksheet!L11*120 + Worksheet!L45*120 + Worksheet!L79*20</f>
        <v>0</v>
      </c>
      <c r="M11" s="4">
        <f>Worksheet!M11*120 + Worksheet!M45*120 + Worksheet!M79*20</f>
        <v>0</v>
      </c>
      <c r="N11" s="4">
        <f>Worksheet!N11*120 + Worksheet!N45*120 + Worksheet!N79*20</f>
        <v>0</v>
      </c>
      <c r="O11" s="4">
        <f>Worksheet!O11*120 + Worksheet!O45*120 + Worksheet!O79*20</f>
        <v>0</v>
      </c>
      <c r="P11" s="4">
        <f>Worksheet!P11*120 + Worksheet!P45*120 + Worksheet!P79*20</f>
        <v>0</v>
      </c>
      <c r="Q11" s="4">
        <f>Worksheet!Q11*120 + Worksheet!Q45*120 + Worksheet!Q79*20</f>
        <v>0</v>
      </c>
      <c r="R11" s="4">
        <f>Worksheet!R11*120 + Worksheet!R45*120 + Worksheet!R79*20</f>
        <v>0</v>
      </c>
      <c r="S11" s="4">
        <f>Worksheet!S11*120 + Worksheet!S45*120 + Worksheet!S79*20</f>
        <v>0</v>
      </c>
      <c r="T11" s="4">
        <f>Worksheet!T11*120 + Worksheet!T45*120 + Worksheet!T79*20</f>
        <v>0</v>
      </c>
      <c r="U11" s="4">
        <f>Worksheet!U11*120 + Worksheet!U45*120 + Worksheet!U79*20</f>
        <v>0</v>
      </c>
      <c r="V11" s="4">
        <f>Worksheet!V11*120 + Worksheet!V45*120 + Worksheet!V79*20</f>
        <v>0</v>
      </c>
      <c r="W11" s="4">
        <f>Worksheet!W11*120 + Worksheet!W45*120 + Worksheet!W79*20</f>
        <v>0</v>
      </c>
      <c r="X11" s="4">
        <f>Worksheet!X11*120 + Worksheet!X45*120 + Worksheet!X79*20</f>
        <v>0</v>
      </c>
      <c r="Y11" s="4">
        <f>Worksheet!Y11*120 + Worksheet!Y45*120 + Worksheet!Y79*20</f>
        <v>0</v>
      </c>
      <c r="Z11" s="4">
        <f>Worksheet!Z11*120 + Worksheet!Z45*120 + Worksheet!Z79*20</f>
        <v>0</v>
      </c>
    </row>
    <row r="12" spans="1:26">
      <c r="B12" s="3">
        <v>6</v>
      </c>
      <c r="C12" s="4">
        <f>Worksheet!C12*120 + Worksheet!C46*120 + Worksheet!C80*20</f>
        <v>0</v>
      </c>
      <c r="D12" s="4">
        <f>Worksheet!D12*120 + Worksheet!D46*120 + Worksheet!D80*20</f>
        <v>0</v>
      </c>
      <c r="E12" s="4">
        <f>Worksheet!E12*120 + Worksheet!E46*120 + Worksheet!E80*20</f>
        <v>0</v>
      </c>
      <c r="F12" s="4">
        <f>Worksheet!F12*120 + Worksheet!F46*120 + Worksheet!F80*20</f>
        <v>0</v>
      </c>
      <c r="G12" s="4">
        <f>Worksheet!G12*120 + Worksheet!G46*120 + Worksheet!G80*20</f>
        <v>0</v>
      </c>
      <c r="H12" s="4">
        <f>Worksheet!H12*120 + Worksheet!H46*120 + Worksheet!H80*20</f>
        <v>0</v>
      </c>
      <c r="I12" s="4">
        <f>Worksheet!I12*120 + Worksheet!I46*120 + Worksheet!I80*20</f>
        <v>0</v>
      </c>
      <c r="J12" s="4">
        <f>Worksheet!J12*120 + Worksheet!J46*120 + Worksheet!J80*20</f>
        <v>0</v>
      </c>
      <c r="K12" s="4">
        <f>Worksheet!K12*120 + Worksheet!K46*120 + Worksheet!K80*20</f>
        <v>0</v>
      </c>
      <c r="L12" s="4">
        <f>Worksheet!L12*120 + Worksheet!L46*120 + Worksheet!L80*20</f>
        <v>0</v>
      </c>
      <c r="M12" s="4">
        <f>Worksheet!M12*120 + Worksheet!M46*120 + Worksheet!M80*20</f>
        <v>0</v>
      </c>
      <c r="N12" s="4">
        <f>Worksheet!N12*120 + Worksheet!N46*120 + Worksheet!N80*20</f>
        <v>0</v>
      </c>
      <c r="O12" s="4">
        <f>Worksheet!O12*120 + Worksheet!O46*120 + Worksheet!O80*20</f>
        <v>0</v>
      </c>
      <c r="P12" s="4">
        <f>Worksheet!P12*120 + Worksheet!P46*120 + Worksheet!P80*20</f>
        <v>0</v>
      </c>
      <c r="Q12" s="4">
        <f>Worksheet!Q12*120 + Worksheet!Q46*120 + Worksheet!Q80*20</f>
        <v>0</v>
      </c>
      <c r="R12" s="4">
        <f>Worksheet!R12*120 + Worksheet!R46*120 + Worksheet!R80*20</f>
        <v>0</v>
      </c>
      <c r="S12" s="4">
        <f>Worksheet!S12*120 + Worksheet!S46*120 + Worksheet!S80*20</f>
        <v>0</v>
      </c>
      <c r="T12" s="4">
        <f>Worksheet!T12*120 + Worksheet!T46*120 + Worksheet!T80*20</f>
        <v>0</v>
      </c>
      <c r="U12" s="4">
        <f>Worksheet!U12*120 + Worksheet!U46*120 + Worksheet!U80*20</f>
        <v>0</v>
      </c>
      <c r="V12" s="4">
        <f>Worksheet!V12*120 + Worksheet!V46*120 + Worksheet!V80*20</f>
        <v>0</v>
      </c>
      <c r="W12" s="4">
        <f>Worksheet!W12*120 + Worksheet!W46*120 + Worksheet!W80*20</f>
        <v>0</v>
      </c>
      <c r="X12" s="4">
        <f>Worksheet!X12*120 + Worksheet!X46*120 + Worksheet!X80*20</f>
        <v>0</v>
      </c>
      <c r="Y12" s="4">
        <f>Worksheet!Y12*120 + Worksheet!Y46*120 + Worksheet!Y80*20</f>
        <v>0</v>
      </c>
      <c r="Z12" s="4">
        <f>Worksheet!Z12*120 + Worksheet!Z46*120 + Worksheet!Z80*20</f>
        <v>0</v>
      </c>
    </row>
    <row r="13" spans="1:26">
      <c r="B13" s="3">
        <v>7</v>
      </c>
      <c r="C13" s="4">
        <f>Worksheet!C13*120 + Worksheet!C47*120 + Worksheet!C81*20</f>
        <v>0</v>
      </c>
      <c r="D13" s="4">
        <f>Worksheet!D13*120 + Worksheet!D47*120 + Worksheet!D81*20</f>
        <v>0</v>
      </c>
      <c r="E13" s="4">
        <f>Worksheet!E13*120 + Worksheet!E47*120 + Worksheet!E81*20</f>
        <v>0</v>
      </c>
      <c r="F13" s="4">
        <f>Worksheet!F13*120 + Worksheet!F47*120 + Worksheet!F81*20</f>
        <v>0</v>
      </c>
      <c r="G13" s="4">
        <f>Worksheet!G13*120 + Worksheet!G47*120 + Worksheet!G81*20</f>
        <v>0</v>
      </c>
      <c r="H13" s="4">
        <f>Worksheet!H13*120 + Worksheet!H47*120 + Worksheet!H81*20</f>
        <v>0</v>
      </c>
      <c r="I13" s="4">
        <f>Worksheet!I13*120 + Worksheet!I47*120 + Worksheet!I81*20</f>
        <v>0</v>
      </c>
      <c r="J13" s="4">
        <f>Worksheet!J13*120 + Worksheet!J47*120 + Worksheet!J81*20</f>
        <v>0</v>
      </c>
      <c r="K13" s="4">
        <f>Worksheet!K13*120 + Worksheet!K47*120 + Worksheet!K81*20</f>
        <v>0</v>
      </c>
      <c r="L13" s="4">
        <f>Worksheet!L13*120 + Worksheet!L47*120 + Worksheet!L81*20</f>
        <v>0</v>
      </c>
      <c r="M13" s="4">
        <f>Worksheet!M13*120 + Worksheet!M47*120 + Worksheet!M81*20</f>
        <v>0</v>
      </c>
      <c r="N13" s="4">
        <f>Worksheet!N13*120 + Worksheet!N47*120 + Worksheet!N81*20</f>
        <v>0</v>
      </c>
      <c r="O13" s="4">
        <f>Worksheet!O13*120 + Worksheet!O47*120 + Worksheet!O81*20</f>
        <v>0</v>
      </c>
      <c r="P13" s="4">
        <f>Worksheet!P13*120 + Worksheet!P47*120 + Worksheet!P81*20</f>
        <v>0</v>
      </c>
      <c r="Q13" s="4">
        <f>Worksheet!Q13*120 + Worksheet!Q47*120 + Worksheet!Q81*20</f>
        <v>0</v>
      </c>
      <c r="R13" s="4">
        <f>Worksheet!R13*120 + Worksheet!R47*120 + Worksheet!R81*20</f>
        <v>0</v>
      </c>
      <c r="S13" s="4">
        <f>Worksheet!S13*120 + Worksheet!S47*120 + Worksheet!S81*20</f>
        <v>0</v>
      </c>
      <c r="T13" s="4">
        <f>Worksheet!T13*120 + Worksheet!T47*120 + Worksheet!T81*20</f>
        <v>0</v>
      </c>
      <c r="U13" s="4">
        <f>Worksheet!U13*120 + Worksheet!U47*120 + Worksheet!U81*20</f>
        <v>0</v>
      </c>
      <c r="V13" s="4">
        <f>Worksheet!V13*120 + Worksheet!V47*120 + Worksheet!V81*20</f>
        <v>0</v>
      </c>
      <c r="W13" s="4">
        <f>Worksheet!W13*120 + Worksheet!W47*120 + Worksheet!W81*20</f>
        <v>0</v>
      </c>
      <c r="X13" s="4">
        <f>Worksheet!X13*120 + Worksheet!X47*120 + Worksheet!X81*20</f>
        <v>0</v>
      </c>
      <c r="Y13" s="4">
        <f>Worksheet!Y13*120 + Worksheet!Y47*120 + Worksheet!Y81*20</f>
        <v>0</v>
      </c>
      <c r="Z13" s="4">
        <f>Worksheet!Z13*120 + Worksheet!Z47*120 + Worksheet!Z81*20</f>
        <v>0</v>
      </c>
    </row>
    <row r="14" spans="1:26">
      <c r="B14" s="3">
        <v>8</v>
      </c>
      <c r="C14" s="4">
        <f>Worksheet!C14*120 + Worksheet!C48*120 + Worksheet!C82*20</f>
        <v>0</v>
      </c>
      <c r="D14" s="4">
        <f>Worksheet!D14*120 + Worksheet!D48*120 + Worksheet!D82*20</f>
        <v>0</v>
      </c>
      <c r="E14" s="4">
        <f>Worksheet!E14*120 + Worksheet!E48*120 + Worksheet!E82*20</f>
        <v>0</v>
      </c>
      <c r="F14" s="4">
        <f>Worksheet!F14*120 + Worksheet!F48*120 + Worksheet!F82*20</f>
        <v>0</v>
      </c>
      <c r="G14" s="4">
        <f>Worksheet!G14*120 + Worksheet!G48*120 + Worksheet!G82*20</f>
        <v>0</v>
      </c>
      <c r="H14" s="4">
        <f>Worksheet!H14*120 + Worksheet!H48*120 + Worksheet!H82*20</f>
        <v>0</v>
      </c>
      <c r="I14" s="4">
        <f>Worksheet!I14*120 + Worksheet!I48*120 + Worksheet!I82*20</f>
        <v>0</v>
      </c>
      <c r="J14" s="4">
        <f>Worksheet!J14*120 + Worksheet!J48*120 + Worksheet!J82*20</f>
        <v>0</v>
      </c>
      <c r="K14" s="4">
        <f>Worksheet!K14*120 + Worksheet!K48*120 + Worksheet!K82*20</f>
        <v>0</v>
      </c>
      <c r="L14" s="4">
        <f>Worksheet!L14*120 + Worksheet!L48*120 + Worksheet!L82*20</f>
        <v>0</v>
      </c>
      <c r="M14" s="4">
        <f>Worksheet!M14*120 + Worksheet!M48*120 + Worksheet!M82*20</f>
        <v>0</v>
      </c>
      <c r="N14" s="4">
        <f>Worksheet!N14*120 + Worksheet!N48*120 + Worksheet!N82*20</f>
        <v>0</v>
      </c>
      <c r="O14" s="4">
        <f>Worksheet!O14*120 + Worksheet!O48*120 + Worksheet!O82*20</f>
        <v>0</v>
      </c>
      <c r="P14" s="4">
        <f>Worksheet!P14*120 + Worksheet!P48*120 + Worksheet!P82*20</f>
        <v>0</v>
      </c>
      <c r="Q14" s="4">
        <f>Worksheet!Q14*120 + Worksheet!Q48*120 + Worksheet!Q82*20</f>
        <v>0</v>
      </c>
      <c r="R14" s="4">
        <f>Worksheet!R14*120 + Worksheet!R48*120 + Worksheet!R82*20</f>
        <v>0</v>
      </c>
      <c r="S14" s="4">
        <f>Worksheet!S14*120 + Worksheet!S48*120 + Worksheet!S82*20</f>
        <v>0</v>
      </c>
      <c r="T14" s="4">
        <f>Worksheet!T14*120 + Worksheet!T48*120 + Worksheet!T82*20</f>
        <v>0</v>
      </c>
      <c r="U14" s="4">
        <f>Worksheet!U14*120 + Worksheet!U48*120 + Worksheet!U82*20</f>
        <v>0</v>
      </c>
      <c r="V14" s="4">
        <f>Worksheet!V14*120 + Worksheet!V48*120 + Worksheet!V82*20</f>
        <v>0</v>
      </c>
      <c r="W14" s="4">
        <f>Worksheet!W14*120 + Worksheet!W48*120 + Worksheet!W82*20</f>
        <v>0</v>
      </c>
      <c r="X14" s="4">
        <f>Worksheet!X14*120 + Worksheet!X48*120 + Worksheet!X82*20</f>
        <v>0</v>
      </c>
      <c r="Y14" s="4">
        <f>Worksheet!Y14*120 + Worksheet!Y48*120 + Worksheet!Y82*20</f>
        <v>0</v>
      </c>
      <c r="Z14" s="4">
        <f>Worksheet!Z14*120 + Worksheet!Z48*120 + Worksheet!Z82*20</f>
        <v>0</v>
      </c>
    </row>
    <row r="15" spans="1:26">
      <c r="B15" s="3">
        <v>9</v>
      </c>
      <c r="C15" s="4">
        <f>Worksheet!C15*120 + Worksheet!C49*120 + Worksheet!C83*20</f>
        <v>0</v>
      </c>
      <c r="D15" s="4">
        <f>Worksheet!D15*120 + Worksheet!D49*120 + Worksheet!D83*20</f>
        <v>0</v>
      </c>
      <c r="E15" s="4">
        <f>Worksheet!E15*120 + Worksheet!E49*120 + Worksheet!E83*20</f>
        <v>0</v>
      </c>
      <c r="F15" s="4">
        <f>Worksheet!F15*120 + Worksheet!F49*120 + Worksheet!F83*20</f>
        <v>0</v>
      </c>
      <c r="G15" s="4">
        <f>Worksheet!G15*120 + Worksheet!G49*120 + Worksheet!G83*20</f>
        <v>0</v>
      </c>
      <c r="H15" s="4">
        <f>Worksheet!H15*120 + Worksheet!H49*120 + Worksheet!H83*20</f>
        <v>0</v>
      </c>
      <c r="I15" s="4">
        <f>Worksheet!I15*120 + Worksheet!I49*120 + Worksheet!I83*20</f>
        <v>0</v>
      </c>
      <c r="J15" s="4">
        <f>Worksheet!J15*120 + Worksheet!J49*120 + Worksheet!J83*20</f>
        <v>0</v>
      </c>
      <c r="K15" s="4">
        <f>Worksheet!K15*120 + Worksheet!K49*120 + Worksheet!K83*20</f>
        <v>0</v>
      </c>
      <c r="L15" s="4">
        <f>Worksheet!L15*120 + Worksheet!L49*120 + Worksheet!L83*20</f>
        <v>0</v>
      </c>
      <c r="M15" s="4">
        <f>Worksheet!M15*120 + Worksheet!M49*120 + Worksheet!M83*20</f>
        <v>0</v>
      </c>
      <c r="N15" s="4">
        <f>Worksheet!N15*120 + Worksheet!N49*120 + Worksheet!N83*20</f>
        <v>0</v>
      </c>
      <c r="O15" s="4">
        <f>Worksheet!O15*120 + Worksheet!O49*120 + Worksheet!O83*20</f>
        <v>0</v>
      </c>
      <c r="P15" s="4">
        <f>Worksheet!P15*120 + Worksheet!P49*120 + Worksheet!P83*20</f>
        <v>0</v>
      </c>
      <c r="Q15" s="4">
        <f>Worksheet!Q15*120 + Worksheet!Q49*120 + Worksheet!Q83*20</f>
        <v>0</v>
      </c>
      <c r="R15" s="4">
        <f>Worksheet!R15*120 + Worksheet!R49*120 + Worksheet!R83*20</f>
        <v>0</v>
      </c>
      <c r="S15" s="4">
        <f>Worksheet!S15*120 + Worksheet!S49*120 + Worksheet!S83*20</f>
        <v>0</v>
      </c>
      <c r="T15" s="4">
        <f>Worksheet!T15*120 + Worksheet!T49*120 + Worksheet!T83*20</f>
        <v>0</v>
      </c>
      <c r="U15" s="4">
        <f>Worksheet!U15*120 + Worksheet!U49*120 + Worksheet!U83*20</f>
        <v>0</v>
      </c>
      <c r="V15" s="4">
        <f>Worksheet!V15*120 + Worksheet!V49*120 + Worksheet!V83*20</f>
        <v>0</v>
      </c>
      <c r="W15" s="4">
        <f>Worksheet!W15*120 + Worksheet!W49*120 + Worksheet!W83*20</f>
        <v>0</v>
      </c>
      <c r="X15" s="4">
        <f>Worksheet!X15*120 + Worksheet!X49*120 + Worksheet!X83*20</f>
        <v>0</v>
      </c>
      <c r="Y15" s="4">
        <f>Worksheet!Y15*120 + Worksheet!Y49*120 + Worksheet!Y83*20</f>
        <v>0</v>
      </c>
      <c r="Z15" s="4">
        <f>Worksheet!Z15*120 + Worksheet!Z49*120 + Worksheet!Z83*20</f>
        <v>0</v>
      </c>
    </row>
    <row r="16" spans="1:26">
      <c r="B16" s="3">
        <v>10</v>
      </c>
      <c r="C16" s="4">
        <f>Worksheet!C16*120 + Worksheet!C50*120 + Worksheet!C84*20</f>
        <v>0</v>
      </c>
      <c r="D16" s="4">
        <f>Worksheet!D16*120 + Worksheet!D50*120 + Worksheet!D84*20</f>
        <v>0</v>
      </c>
      <c r="E16" s="4">
        <f>Worksheet!E16*120 + Worksheet!E50*120 + Worksheet!E84*20</f>
        <v>0</v>
      </c>
      <c r="F16" s="4">
        <f>Worksheet!F16*120 + Worksheet!F50*120 + Worksheet!F84*20</f>
        <v>0</v>
      </c>
      <c r="G16" s="4">
        <f>Worksheet!G16*120 + Worksheet!G50*120 + Worksheet!G84*20</f>
        <v>0</v>
      </c>
      <c r="H16" s="4">
        <f>Worksheet!H16*120 + Worksheet!H50*120 + Worksheet!H84*20</f>
        <v>0</v>
      </c>
      <c r="I16" s="4">
        <f>Worksheet!I16*120 + Worksheet!I50*120 + Worksheet!I84*20</f>
        <v>0</v>
      </c>
      <c r="J16" s="4">
        <f>Worksheet!J16*120 + Worksheet!J50*120 + Worksheet!J84*20</f>
        <v>0</v>
      </c>
      <c r="K16" s="4">
        <f>Worksheet!K16*120 + Worksheet!K50*120 + Worksheet!K84*20</f>
        <v>0</v>
      </c>
      <c r="L16" s="4">
        <f>Worksheet!L16*120 + Worksheet!L50*120 + Worksheet!L84*20</f>
        <v>0</v>
      </c>
      <c r="M16" s="4">
        <f>Worksheet!M16*120 + Worksheet!M50*120 + Worksheet!M84*20</f>
        <v>0</v>
      </c>
      <c r="N16" s="4">
        <f>Worksheet!N16*120 + Worksheet!N50*120 + Worksheet!N84*20</f>
        <v>0</v>
      </c>
      <c r="O16" s="4">
        <f>Worksheet!O16*120 + Worksheet!O50*120 + Worksheet!O84*20</f>
        <v>0</v>
      </c>
      <c r="P16" s="4">
        <f>Worksheet!P16*120 + Worksheet!P50*120 + Worksheet!P84*20</f>
        <v>0</v>
      </c>
      <c r="Q16" s="4">
        <f>Worksheet!Q16*120 + Worksheet!Q50*120 + Worksheet!Q84*20</f>
        <v>0</v>
      </c>
      <c r="R16" s="4">
        <f>Worksheet!R16*120 + Worksheet!R50*120 + Worksheet!R84*20</f>
        <v>0</v>
      </c>
      <c r="S16" s="4">
        <f>Worksheet!S16*120 + Worksheet!S50*120 + Worksheet!S84*20</f>
        <v>0</v>
      </c>
      <c r="T16" s="4">
        <f>Worksheet!T16*120 + Worksheet!T50*120 + Worksheet!T84*20</f>
        <v>0</v>
      </c>
      <c r="U16" s="4">
        <f>Worksheet!U16*120 + Worksheet!U50*120 + Worksheet!U84*20</f>
        <v>0</v>
      </c>
      <c r="V16" s="4">
        <f>Worksheet!V16*120 + Worksheet!V50*120 + Worksheet!V84*20</f>
        <v>0</v>
      </c>
      <c r="W16" s="4">
        <f>Worksheet!W16*120 + Worksheet!W50*120 + Worksheet!W84*20</f>
        <v>0</v>
      </c>
      <c r="X16" s="4">
        <f>Worksheet!X16*120 + Worksheet!X50*120 + Worksheet!X84*20</f>
        <v>0</v>
      </c>
      <c r="Y16" s="4">
        <f>Worksheet!Y16*120 + Worksheet!Y50*120 + Worksheet!Y84*20</f>
        <v>0</v>
      </c>
      <c r="Z16" s="4">
        <f>Worksheet!Z16*120 + Worksheet!Z50*120 + Worksheet!Z84*20</f>
        <v>0</v>
      </c>
    </row>
    <row r="17" spans="2:26">
      <c r="B17" s="3">
        <v>11</v>
      </c>
      <c r="C17" s="4">
        <f>Worksheet!C17*120 + Worksheet!C51*120 + Worksheet!C85*20</f>
        <v>0</v>
      </c>
      <c r="D17" s="4">
        <f>Worksheet!D17*120 + Worksheet!D51*120 + Worksheet!D85*20</f>
        <v>0</v>
      </c>
      <c r="E17" s="4">
        <f>Worksheet!E17*120 + Worksheet!E51*120 + Worksheet!E85*20</f>
        <v>0</v>
      </c>
      <c r="F17" s="4">
        <f>Worksheet!F17*120 + Worksheet!F51*120 + Worksheet!F85*20</f>
        <v>0</v>
      </c>
      <c r="G17" s="4">
        <f>Worksheet!G17*120 + Worksheet!G51*120 + Worksheet!G85*20</f>
        <v>0</v>
      </c>
      <c r="H17" s="4">
        <f>Worksheet!H17*120 + Worksheet!H51*120 + Worksheet!H85*20</f>
        <v>0</v>
      </c>
      <c r="I17" s="4">
        <f>Worksheet!I17*120 + Worksheet!I51*120 + Worksheet!I85*20</f>
        <v>0</v>
      </c>
      <c r="J17" s="4">
        <f>Worksheet!J17*120 + Worksheet!J51*120 + Worksheet!J85*20</f>
        <v>0</v>
      </c>
      <c r="K17" s="4">
        <f>Worksheet!K17*120 + Worksheet!K51*120 + Worksheet!K85*20</f>
        <v>0</v>
      </c>
      <c r="L17" s="4">
        <f>Worksheet!L17*120 + Worksheet!L51*120 + Worksheet!L85*20</f>
        <v>0</v>
      </c>
      <c r="M17" s="4">
        <f>Worksheet!M17*120 + Worksheet!M51*120 + Worksheet!M85*20</f>
        <v>0</v>
      </c>
      <c r="N17" s="4">
        <f>Worksheet!N17*120 + Worksheet!N51*120 + Worksheet!N85*20</f>
        <v>0</v>
      </c>
      <c r="O17" s="4">
        <f>Worksheet!O17*120 + Worksheet!O51*120 + Worksheet!O85*20</f>
        <v>0</v>
      </c>
      <c r="P17" s="4">
        <f>Worksheet!P17*120 + Worksheet!P51*120 + Worksheet!P85*20</f>
        <v>0</v>
      </c>
      <c r="Q17" s="4">
        <f>Worksheet!Q17*120 + Worksheet!Q51*120 + Worksheet!Q85*20</f>
        <v>0</v>
      </c>
      <c r="R17" s="4">
        <f>Worksheet!R17*120 + Worksheet!R51*120 + Worksheet!R85*20</f>
        <v>0</v>
      </c>
      <c r="S17" s="4">
        <f>Worksheet!S17*120 + Worksheet!S51*120 + Worksheet!S85*20</f>
        <v>0</v>
      </c>
      <c r="T17" s="4">
        <f>Worksheet!T17*120 + Worksheet!T51*120 + Worksheet!T85*20</f>
        <v>0</v>
      </c>
      <c r="U17" s="4">
        <f>Worksheet!U17*120 + Worksheet!U51*120 + Worksheet!U85*20</f>
        <v>0</v>
      </c>
      <c r="V17" s="4">
        <f>Worksheet!V17*120 + Worksheet!V51*120 + Worksheet!V85*20</f>
        <v>0</v>
      </c>
      <c r="W17" s="4">
        <f>Worksheet!W17*120 + Worksheet!W51*120 + Worksheet!W85*20</f>
        <v>0</v>
      </c>
      <c r="X17" s="4">
        <f>Worksheet!X17*120 + Worksheet!X51*120 + Worksheet!X85*20</f>
        <v>0</v>
      </c>
      <c r="Y17" s="4">
        <f>Worksheet!Y17*120 + Worksheet!Y51*120 + Worksheet!Y85*20</f>
        <v>0</v>
      </c>
      <c r="Z17" s="4">
        <f>Worksheet!Z17*120 + Worksheet!Z51*120 + Worksheet!Z85*20</f>
        <v>0</v>
      </c>
    </row>
    <row r="18" spans="2:26">
      <c r="B18" s="3">
        <v>12</v>
      </c>
      <c r="C18" s="4">
        <f>Worksheet!C18*120 + Worksheet!C52*120 + Worksheet!C86*20</f>
        <v>0</v>
      </c>
      <c r="D18" s="4">
        <f>Worksheet!D18*120 + Worksheet!D52*120 + Worksheet!D86*20</f>
        <v>0</v>
      </c>
      <c r="E18" s="4">
        <f>Worksheet!E18*120 + Worksheet!E52*120 + Worksheet!E86*20</f>
        <v>0</v>
      </c>
      <c r="F18" s="4">
        <f>Worksheet!F18*120 + Worksheet!F52*120 + Worksheet!F86*20</f>
        <v>0</v>
      </c>
      <c r="G18" s="4">
        <f>Worksheet!G18*120 + Worksheet!G52*120 + Worksheet!G86*20</f>
        <v>0</v>
      </c>
      <c r="H18" s="4">
        <f>Worksheet!H18*120 + Worksheet!H52*120 + Worksheet!H86*20</f>
        <v>0</v>
      </c>
      <c r="I18" s="4">
        <f>Worksheet!I18*120 + Worksheet!I52*120 + Worksheet!I86*20</f>
        <v>0</v>
      </c>
      <c r="J18" s="4">
        <f>Worksheet!J18*120 + Worksheet!J52*120 + Worksheet!J86*20</f>
        <v>0</v>
      </c>
      <c r="K18" s="4">
        <f>Worksheet!K18*120 + Worksheet!K52*120 + Worksheet!K86*20</f>
        <v>0</v>
      </c>
      <c r="L18" s="4">
        <f>Worksheet!L18*120 + Worksheet!L52*120 + Worksheet!L86*20</f>
        <v>0</v>
      </c>
      <c r="M18" s="4">
        <f>Worksheet!M18*120 + Worksheet!M52*120 + Worksheet!M86*20</f>
        <v>0</v>
      </c>
      <c r="N18" s="4">
        <f>Worksheet!N18*120 + Worksheet!N52*120 + Worksheet!N86*20</f>
        <v>0</v>
      </c>
      <c r="O18" s="4">
        <f>Worksheet!O18*120 + Worksheet!O52*120 + Worksheet!O86*20</f>
        <v>0</v>
      </c>
      <c r="P18" s="4">
        <f>Worksheet!P18*120 + Worksheet!P52*120 + Worksheet!P86*20</f>
        <v>0</v>
      </c>
      <c r="Q18" s="4">
        <f>Worksheet!Q18*120 + Worksheet!Q52*120 + Worksheet!Q86*20</f>
        <v>0</v>
      </c>
      <c r="R18" s="4">
        <f>Worksheet!R18*120 + Worksheet!R52*120 + Worksheet!R86*20</f>
        <v>0</v>
      </c>
      <c r="S18" s="4">
        <f>Worksheet!S18*120 + Worksheet!S52*120 + Worksheet!S86*20</f>
        <v>0</v>
      </c>
      <c r="T18" s="4">
        <f>Worksheet!T18*120 + Worksheet!T52*120 + Worksheet!T86*20</f>
        <v>0</v>
      </c>
      <c r="U18" s="4">
        <f>Worksheet!U18*120 + Worksheet!U52*120 + Worksheet!U86*20</f>
        <v>0</v>
      </c>
      <c r="V18" s="4">
        <f>Worksheet!V18*120 + Worksheet!V52*120 + Worksheet!V86*20</f>
        <v>0</v>
      </c>
      <c r="W18" s="4">
        <f>Worksheet!W18*120 + Worksheet!W52*120 + Worksheet!W86*20</f>
        <v>0</v>
      </c>
      <c r="X18" s="4">
        <f>Worksheet!X18*120 + Worksheet!X52*120 + Worksheet!X86*20</f>
        <v>0</v>
      </c>
      <c r="Y18" s="4">
        <f>Worksheet!Y18*120 + Worksheet!Y52*120 + Worksheet!Y86*20</f>
        <v>0</v>
      </c>
      <c r="Z18" s="4">
        <f>Worksheet!Z18*120 + Worksheet!Z52*120 + Worksheet!Z86*20</f>
        <v>0</v>
      </c>
    </row>
    <row r="19" spans="2:26">
      <c r="B19" s="3">
        <v>13</v>
      </c>
      <c r="C19" s="4">
        <f>Worksheet!C19*120 + Worksheet!C53*120 + Worksheet!C87*20</f>
        <v>0</v>
      </c>
      <c r="D19" s="4">
        <f>Worksheet!D19*120 + Worksheet!D53*120 + Worksheet!D87*20</f>
        <v>0</v>
      </c>
      <c r="E19" s="4">
        <f>Worksheet!E19*120 + Worksheet!E53*120 + Worksheet!E87*20</f>
        <v>0</v>
      </c>
      <c r="F19" s="4">
        <f>Worksheet!F19*120 + Worksheet!F53*120 + Worksheet!F87*20</f>
        <v>0</v>
      </c>
      <c r="G19" s="4">
        <f>Worksheet!G19*120 + Worksheet!G53*120 + Worksheet!G87*20</f>
        <v>0</v>
      </c>
      <c r="H19" s="4">
        <f>Worksheet!H19*120 + Worksheet!H53*120 + Worksheet!H87*20</f>
        <v>0</v>
      </c>
      <c r="I19" s="4">
        <f>Worksheet!I19*120 + Worksheet!I53*120 + Worksheet!I87*20</f>
        <v>0</v>
      </c>
      <c r="J19" s="4">
        <f>Worksheet!J19*120 + Worksheet!J53*120 + Worksheet!J87*20</f>
        <v>0</v>
      </c>
      <c r="K19" s="4">
        <f>Worksheet!K19*120 + Worksheet!K53*120 + Worksheet!K87*20</f>
        <v>0</v>
      </c>
      <c r="L19" s="4">
        <f>Worksheet!L19*120 + Worksheet!L53*120 + Worksheet!L87*20</f>
        <v>0</v>
      </c>
      <c r="M19" s="4">
        <f>Worksheet!M19*120 + Worksheet!M53*120 + Worksheet!M87*20</f>
        <v>0</v>
      </c>
      <c r="N19" s="4">
        <f>Worksheet!N19*120 + Worksheet!N53*120 + Worksheet!N87*20</f>
        <v>0</v>
      </c>
      <c r="O19" s="4">
        <f>Worksheet!O19*120 + Worksheet!O53*120 + Worksheet!O87*20</f>
        <v>0</v>
      </c>
      <c r="P19" s="4">
        <f>Worksheet!P19*120 + Worksheet!P53*120 + Worksheet!P87*20</f>
        <v>0</v>
      </c>
      <c r="Q19" s="4">
        <f>Worksheet!Q19*120 + Worksheet!Q53*120 + Worksheet!Q87*20</f>
        <v>0</v>
      </c>
      <c r="R19" s="4">
        <f>Worksheet!R19*120 + Worksheet!R53*120 + Worksheet!R87*20</f>
        <v>0</v>
      </c>
      <c r="S19" s="4">
        <f>Worksheet!S19*120 + Worksheet!S53*120 + Worksheet!S87*20</f>
        <v>0</v>
      </c>
      <c r="T19" s="4">
        <f>Worksheet!T19*120 + Worksheet!T53*120 + Worksheet!T87*20</f>
        <v>0</v>
      </c>
      <c r="U19" s="4">
        <f>Worksheet!U19*120 + Worksheet!U53*120 + Worksheet!U87*20</f>
        <v>0</v>
      </c>
      <c r="V19" s="4">
        <f>Worksheet!V19*120 + Worksheet!V53*120 + Worksheet!V87*20</f>
        <v>0</v>
      </c>
      <c r="W19" s="4">
        <f>Worksheet!W19*120 + Worksheet!W53*120 + Worksheet!W87*20</f>
        <v>0</v>
      </c>
      <c r="X19" s="4">
        <f>Worksheet!X19*120 + Worksheet!X53*120 + Worksheet!X87*20</f>
        <v>0</v>
      </c>
      <c r="Y19" s="4">
        <f>Worksheet!Y19*120 + Worksheet!Y53*120 + Worksheet!Y87*20</f>
        <v>0</v>
      </c>
      <c r="Z19" s="4">
        <f>Worksheet!Z19*120 + Worksheet!Z53*120 + Worksheet!Z87*20</f>
        <v>0</v>
      </c>
    </row>
    <row r="20" spans="2:26">
      <c r="B20" s="3">
        <v>14</v>
      </c>
      <c r="C20" s="4">
        <f>Worksheet!C20*120 + Worksheet!C54*120 + Worksheet!C88*20</f>
        <v>0</v>
      </c>
      <c r="D20" s="4">
        <f>Worksheet!D20*120 + Worksheet!D54*120 + Worksheet!D88*20</f>
        <v>0</v>
      </c>
      <c r="E20" s="4">
        <f>Worksheet!E20*120 + Worksheet!E54*120 + Worksheet!E88*20</f>
        <v>0</v>
      </c>
      <c r="F20" s="4">
        <f>Worksheet!F20*120 + Worksheet!F54*120 + Worksheet!F88*20</f>
        <v>0</v>
      </c>
      <c r="G20" s="4">
        <f>Worksheet!G20*120 + Worksheet!G54*120 + Worksheet!G88*20</f>
        <v>0</v>
      </c>
      <c r="H20" s="4">
        <f>Worksheet!H20*120 + Worksheet!H54*120 + Worksheet!H88*20</f>
        <v>0</v>
      </c>
      <c r="I20" s="4">
        <f>Worksheet!I20*120 + Worksheet!I54*120 + Worksheet!I88*20</f>
        <v>0</v>
      </c>
      <c r="J20" s="4">
        <f>Worksheet!J20*120 + Worksheet!J54*120 + Worksheet!J88*20</f>
        <v>0</v>
      </c>
      <c r="K20" s="4">
        <f>Worksheet!K20*120 + Worksheet!K54*120 + Worksheet!K88*20</f>
        <v>0</v>
      </c>
      <c r="L20" s="4">
        <f>Worksheet!L20*120 + Worksheet!L54*120 + Worksheet!L88*20</f>
        <v>0</v>
      </c>
      <c r="M20" s="4">
        <f>Worksheet!M20*120 + Worksheet!M54*120 + Worksheet!M88*20</f>
        <v>0</v>
      </c>
      <c r="N20" s="4">
        <f>Worksheet!N20*120 + Worksheet!N54*120 + Worksheet!N88*20</f>
        <v>0</v>
      </c>
      <c r="O20" s="4">
        <f>Worksheet!O20*120 + Worksheet!O54*120 + Worksheet!O88*20</f>
        <v>0</v>
      </c>
      <c r="P20" s="4">
        <f>Worksheet!P20*120 + Worksheet!P54*120 + Worksheet!P88*20</f>
        <v>0</v>
      </c>
      <c r="Q20" s="4">
        <f>Worksheet!Q20*120 + Worksheet!Q54*120 + Worksheet!Q88*20</f>
        <v>0</v>
      </c>
      <c r="R20" s="4">
        <f>Worksheet!R20*120 + Worksheet!R54*120 + Worksheet!R88*20</f>
        <v>0</v>
      </c>
      <c r="S20" s="4">
        <f>Worksheet!S20*120 + Worksheet!S54*120 + Worksheet!S88*20</f>
        <v>0</v>
      </c>
      <c r="T20" s="4">
        <f>Worksheet!T20*120 + Worksheet!T54*120 + Worksheet!T88*20</f>
        <v>0</v>
      </c>
      <c r="U20" s="4">
        <f>Worksheet!U20*120 + Worksheet!U54*120 + Worksheet!U88*20</f>
        <v>0</v>
      </c>
      <c r="V20" s="4">
        <f>Worksheet!V20*120 + Worksheet!V54*120 + Worksheet!V88*20</f>
        <v>0</v>
      </c>
      <c r="W20" s="4">
        <f>Worksheet!W20*120 + Worksheet!W54*120 + Worksheet!W88*20</f>
        <v>0</v>
      </c>
      <c r="X20" s="4">
        <f>Worksheet!X20*120 + Worksheet!X54*120 + Worksheet!X88*20</f>
        <v>0</v>
      </c>
      <c r="Y20" s="4">
        <f>Worksheet!Y20*120 + Worksheet!Y54*120 + Worksheet!Y88*20</f>
        <v>0</v>
      </c>
      <c r="Z20" s="4">
        <f>Worksheet!Z20*120 + Worksheet!Z54*120 + Worksheet!Z88*20</f>
        <v>0</v>
      </c>
    </row>
    <row r="21" spans="2:26">
      <c r="B21" s="3">
        <v>15</v>
      </c>
      <c r="C21" s="4">
        <f>Worksheet!C21*120 + Worksheet!C55*120 + Worksheet!C89*20</f>
        <v>0</v>
      </c>
      <c r="D21" s="4">
        <f>Worksheet!D21*120 + Worksheet!D55*120 + Worksheet!D89*20</f>
        <v>0</v>
      </c>
      <c r="E21" s="4">
        <f>Worksheet!E21*120 + Worksheet!E55*120 + Worksheet!E89*20</f>
        <v>0</v>
      </c>
      <c r="F21" s="4">
        <f>Worksheet!F21*120 + Worksheet!F55*120 + Worksheet!F89*20</f>
        <v>0</v>
      </c>
      <c r="G21" s="4">
        <f>Worksheet!G21*120 + Worksheet!G55*120 + Worksheet!G89*20</f>
        <v>0</v>
      </c>
      <c r="H21" s="4">
        <f>Worksheet!H21*120 + Worksheet!H55*120 + Worksheet!H89*20</f>
        <v>0</v>
      </c>
      <c r="I21" s="4">
        <f>Worksheet!I21*120 + Worksheet!I55*120 + Worksheet!I89*20</f>
        <v>0</v>
      </c>
      <c r="J21" s="4">
        <f>Worksheet!J21*120 + Worksheet!J55*120 + Worksheet!J89*20</f>
        <v>0</v>
      </c>
      <c r="K21" s="4">
        <f>Worksheet!K21*120 + Worksheet!K55*120 + Worksheet!K89*20</f>
        <v>0</v>
      </c>
      <c r="L21" s="4">
        <f>Worksheet!L21*120 + Worksheet!L55*120 + Worksheet!L89*20</f>
        <v>0</v>
      </c>
      <c r="M21" s="4">
        <f>Worksheet!M21*120 + Worksheet!M55*120 + Worksheet!M89*20</f>
        <v>0</v>
      </c>
      <c r="N21" s="4">
        <f>Worksheet!N21*120 + Worksheet!N55*120 + Worksheet!N89*20</f>
        <v>0</v>
      </c>
      <c r="O21" s="4">
        <f>Worksheet!O21*120 + Worksheet!O55*120 + Worksheet!O89*20</f>
        <v>0</v>
      </c>
      <c r="P21" s="4">
        <f>Worksheet!P21*120 + Worksheet!P55*120 + Worksheet!P89*20</f>
        <v>0</v>
      </c>
      <c r="Q21" s="4">
        <f>Worksheet!Q21*120 + Worksheet!Q55*120 + Worksheet!Q89*20</f>
        <v>0</v>
      </c>
      <c r="R21" s="4">
        <f>Worksheet!R21*120 + Worksheet!R55*120 + Worksheet!R89*20</f>
        <v>0</v>
      </c>
      <c r="S21" s="4">
        <f>Worksheet!S21*120 + Worksheet!S55*120 + Worksheet!S89*20</f>
        <v>0</v>
      </c>
      <c r="T21" s="4">
        <f>Worksheet!T21*120 + Worksheet!T55*120 + Worksheet!T89*20</f>
        <v>0</v>
      </c>
      <c r="U21" s="4">
        <f>Worksheet!U21*120 + Worksheet!U55*120 + Worksheet!U89*20</f>
        <v>0</v>
      </c>
      <c r="V21" s="4">
        <f>Worksheet!V21*120 + Worksheet!V55*120 + Worksheet!V89*20</f>
        <v>0</v>
      </c>
      <c r="W21" s="4">
        <f>Worksheet!W21*120 + Worksheet!W55*120 + Worksheet!W89*20</f>
        <v>0</v>
      </c>
      <c r="X21" s="4">
        <f>Worksheet!X21*120 + Worksheet!X55*120 + Worksheet!X89*20</f>
        <v>0</v>
      </c>
      <c r="Y21" s="4">
        <f>Worksheet!Y21*120 + Worksheet!Y55*120 + Worksheet!Y89*20</f>
        <v>0</v>
      </c>
      <c r="Z21" s="4">
        <f>Worksheet!Z21*120 + Worksheet!Z55*120 + Worksheet!Z89*20</f>
        <v>0</v>
      </c>
    </row>
    <row r="22" spans="2:26">
      <c r="B22" s="3">
        <v>16</v>
      </c>
      <c r="C22" s="4">
        <f>Worksheet!C22*120 + Worksheet!C56*120 + Worksheet!C90*20</f>
        <v>0</v>
      </c>
      <c r="D22" s="4">
        <f>Worksheet!D22*120 + Worksheet!D56*120 + Worksheet!D90*20</f>
        <v>0</v>
      </c>
      <c r="E22" s="4">
        <f>Worksheet!E22*120 + Worksheet!E56*120 + Worksheet!E90*20</f>
        <v>0</v>
      </c>
      <c r="F22" s="4">
        <f>Worksheet!F22*120 + Worksheet!F56*120 + Worksheet!F90*20</f>
        <v>0</v>
      </c>
      <c r="G22" s="4">
        <f>Worksheet!G22*120 + Worksheet!G56*120 + Worksheet!G90*20</f>
        <v>0</v>
      </c>
      <c r="H22" s="4">
        <f>Worksheet!H22*120 + Worksheet!H56*120 + Worksheet!H90*20</f>
        <v>0</v>
      </c>
      <c r="I22" s="4">
        <f>Worksheet!I22*120 + Worksheet!I56*120 + Worksheet!I90*20</f>
        <v>0</v>
      </c>
      <c r="J22" s="4">
        <f>Worksheet!J22*120 + Worksheet!J56*120 + Worksheet!J90*20</f>
        <v>0</v>
      </c>
      <c r="K22" s="4">
        <f>Worksheet!K22*120 + Worksheet!K56*120 + Worksheet!K90*20</f>
        <v>0</v>
      </c>
      <c r="L22" s="4">
        <f>Worksheet!L22*120 + Worksheet!L56*120 + Worksheet!L90*20</f>
        <v>0</v>
      </c>
      <c r="M22" s="4">
        <f>Worksheet!M22*120 + Worksheet!M56*120 + Worksheet!M90*20</f>
        <v>0</v>
      </c>
      <c r="N22" s="4">
        <f>Worksheet!N22*120 + Worksheet!N56*120 + Worksheet!N90*20</f>
        <v>0</v>
      </c>
      <c r="O22" s="4">
        <f>Worksheet!O22*120 + Worksheet!O56*120 + Worksheet!O90*20</f>
        <v>0</v>
      </c>
      <c r="P22" s="4">
        <f>Worksheet!P22*120 + Worksheet!P56*120 + Worksheet!P90*20</f>
        <v>0</v>
      </c>
      <c r="Q22" s="4">
        <f>Worksheet!Q22*120 + Worksheet!Q56*120 + Worksheet!Q90*20</f>
        <v>0</v>
      </c>
      <c r="R22" s="4">
        <f>Worksheet!R22*120 + Worksheet!R56*120 + Worksheet!R90*20</f>
        <v>0</v>
      </c>
      <c r="S22" s="4">
        <f>Worksheet!S22*120 + Worksheet!S56*120 + Worksheet!S90*20</f>
        <v>0</v>
      </c>
      <c r="T22" s="4">
        <f>Worksheet!T22*120 + Worksheet!T56*120 + Worksheet!T90*20</f>
        <v>0</v>
      </c>
      <c r="U22" s="4">
        <f>Worksheet!U22*120 + Worksheet!U56*120 + Worksheet!U90*20</f>
        <v>0</v>
      </c>
      <c r="V22" s="4">
        <f>Worksheet!V22*120 + Worksheet!V56*120 + Worksheet!V90*20</f>
        <v>0</v>
      </c>
      <c r="W22" s="4">
        <f>Worksheet!W22*120 + Worksheet!W56*120 + Worksheet!W90*20</f>
        <v>0</v>
      </c>
      <c r="X22" s="4">
        <f>Worksheet!X22*120 + Worksheet!X56*120 + Worksheet!X90*20</f>
        <v>0</v>
      </c>
      <c r="Y22" s="4">
        <f>Worksheet!Y22*120 + Worksheet!Y56*120 + Worksheet!Y90*20</f>
        <v>0</v>
      </c>
      <c r="Z22" s="4">
        <f>Worksheet!Z22*120 + Worksheet!Z56*120 + Worksheet!Z90*20</f>
        <v>0</v>
      </c>
    </row>
    <row r="23" spans="2:26">
      <c r="B23" s="3">
        <v>17</v>
      </c>
      <c r="C23" s="4">
        <f>Worksheet!C23*120 + Worksheet!C57*120 + Worksheet!C91*20</f>
        <v>0</v>
      </c>
      <c r="D23" s="4">
        <f>Worksheet!D23*120 + Worksheet!D57*120 + Worksheet!D91*20</f>
        <v>0</v>
      </c>
      <c r="E23" s="4">
        <f>Worksheet!E23*120 + Worksheet!E57*120 + Worksheet!E91*20</f>
        <v>0</v>
      </c>
      <c r="F23" s="4">
        <f>Worksheet!F23*120 + Worksheet!F57*120 + Worksheet!F91*20</f>
        <v>0</v>
      </c>
      <c r="G23" s="4">
        <f>Worksheet!G23*120 + Worksheet!G57*120 + Worksheet!G91*20</f>
        <v>0</v>
      </c>
      <c r="H23" s="4">
        <f>Worksheet!H23*120 + Worksheet!H57*120 + Worksheet!H91*20</f>
        <v>0</v>
      </c>
      <c r="I23" s="4">
        <f>Worksheet!I23*120 + Worksheet!I57*120 + Worksheet!I91*20</f>
        <v>0</v>
      </c>
      <c r="J23" s="4">
        <f>Worksheet!J23*120 + Worksheet!J57*120 + Worksheet!J91*20</f>
        <v>0</v>
      </c>
      <c r="K23" s="4">
        <f>Worksheet!K23*120 + Worksheet!K57*120 + Worksheet!K91*20</f>
        <v>0</v>
      </c>
      <c r="L23" s="4">
        <f>Worksheet!L23*120 + Worksheet!L57*120 + Worksheet!L91*20</f>
        <v>0</v>
      </c>
      <c r="M23" s="4">
        <f>Worksheet!M23*120 + Worksheet!M57*120 + Worksheet!M91*20</f>
        <v>0</v>
      </c>
      <c r="N23" s="4">
        <f>Worksheet!N23*120 + Worksheet!N57*120 + Worksheet!N91*20</f>
        <v>0</v>
      </c>
      <c r="O23" s="4">
        <f>Worksheet!O23*120 + Worksheet!O57*120 + Worksheet!O91*20</f>
        <v>0</v>
      </c>
      <c r="P23" s="4">
        <f>Worksheet!P23*120 + Worksheet!P57*120 + Worksheet!P91*20</f>
        <v>0</v>
      </c>
      <c r="Q23" s="4">
        <f>Worksheet!Q23*120 + Worksheet!Q57*120 + Worksheet!Q91*20</f>
        <v>0</v>
      </c>
      <c r="R23" s="4">
        <f>Worksheet!R23*120 + Worksheet!R57*120 + Worksheet!R91*20</f>
        <v>0</v>
      </c>
      <c r="S23" s="4">
        <f>Worksheet!S23*120 + Worksheet!S57*120 + Worksheet!S91*20</f>
        <v>0</v>
      </c>
      <c r="T23" s="4">
        <f>Worksheet!T23*120 + Worksheet!T57*120 + Worksheet!T91*20</f>
        <v>0</v>
      </c>
      <c r="U23" s="4">
        <f>Worksheet!U23*120 + Worksheet!U57*120 + Worksheet!U91*20</f>
        <v>0</v>
      </c>
      <c r="V23" s="4">
        <f>Worksheet!V23*120 + Worksheet!V57*120 + Worksheet!V91*20</f>
        <v>0</v>
      </c>
      <c r="W23" s="4">
        <f>Worksheet!W23*120 + Worksheet!W57*120 + Worksheet!W91*20</f>
        <v>0</v>
      </c>
      <c r="X23" s="4">
        <f>Worksheet!X23*120 + Worksheet!X57*120 + Worksheet!X91*20</f>
        <v>0</v>
      </c>
      <c r="Y23" s="4">
        <f>Worksheet!Y23*120 + Worksheet!Y57*120 + Worksheet!Y91*20</f>
        <v>0</v>
      </c>
      <c r="Z23" s="4">
        <f>Worksheet!Z23*120 + Worksheet!Z57*120 + Worksheet!Z91*20</f>
        <v>0</v>
      </c>
    </row>
    <row r="24" spans="2:26">
      <c r="B24" s="3">
        <v>18</v>
      </c>
      <c r="C24" s="4">
        <f>Worksheet!C24*120 + Worksheet!C58*120 + Worksheet!C92*20</f>
        <v>0</v>
      </c>
      <c r="D24" s="4">
        <f>Worksheet!D24*120 + Worksheet!D58*120 + Worksheet!D92*20</f>
        <v>0</v>
      </c>
      <c r="E24" s="4">
        <f>Worksheet!E24*120 + Worksheet!E58*120 + Worksheet!E92*20</f>
        <v>0</v>
      </c>
      <c r="F24" s="4">
        <f>Worksheet!F24*120 + Worksheet!F58*120 + Worksheet!F92*20</f>
        <v>0</v>
      </c>
      <c r="G24" s="4">
        <f>Worksheet!G24*120 + Worksheet!G58*120 + Worksheet!G92*20</f>
        <v>0</v>
      </c>
      <c r="H24" s="4">
        <f>Worksheet!H24*120 + Worksheet!H58*120 + Worksheet!H92*20</f>
        <v>0</v>
      </c>
      <c r="I24" s="4">
        <f>Worksheet!I24*120 + Worksheet!I58*120 + Worksheet!I92*20</f>
        <v>0</v>
      </c>
      <c r="J24" s="4">
        <f>Worksheet!J24*120 + Worksheet!J58*120 + Worksheet!J92*20</f>
        <v>0</v>
      </c>
      <c r="K24" s="4">
        <f>Worksheet!K24*120 + Worksheet!K58*120 + Worksheet!K92*20</f>
        <v>0</v>
      </c>
      <c r="L24" s="4">
        <f>Worksheet!L24*120 + Worksheet!L58*120 + Worksheet!L92*20</f>
        <v>0</v>
      </c>
      <c r="M24" s="4">
        <f>Worksheet!M24*120 + Worksheet!M58*120 + Worksheet!M92*20</f>
        <v>0</v>
      </c>
      <c r="N24" s="4">
        <f>Worksheet!N24*120 + Worksheet!N58*120 + Worksheet!N92*20</f>
        <v>0</v>
      </c>
      <c r="O24" s="4">
        <f>Worksheet!O24*120 + Worksheet!O58*120 + Worksheet!O92*20</f>
        <v>0</v>
      </c>
      <c r="P24" s="4">
        <f>Worksheet!P24*120 + Worksheet!P58*120 + Worksheet!P92*20</f>
        <v>0</v>
      </c>
      <c r="Q24" s="4">
        <f>Worksheet!Q24*120 + Worksheet!Q58*120 + Worksheet!Q92*20</f>
        <v>0</v>
      </c>
      <c r="R24" s="4">
        <f>Worksheet!R24*120 + Worksheet!R58*120 + Worksheet!R92*20</f>
        <v>0</v>
      </c>
      <c r="S24" s="4">
        <f>Worksheet!S24*120 + Worksheet!S58*120 + Worksheet!S92*20</f>
        <v>0</v>
      </c>
      <c r="T24" s="4">
        <f>Worksheet!T24*120 + Worksheet!T58*120 + Worksheet!T92*20</f>
        <v>0</v>
      </c>
      <c r="U24" s="4">
        <f>Worksheet!U24*120 + Worksheet!U58*120 + Worksheet!U92*20</f>
        <v>0</v>
      </c>
      <c r="V24" s="4">
        <f>Worksheet!V24*120 + Worksheet!V58*120 + Worksheet!V92*20</f>
        <v>0</v>
      </c>
      <c r="W24" s="4">
        <f>Worksheet!W24*120 + Worksheet!W58*120 + Worksheet!W92*20</f>
        <v>0</v>
      </c>
      <c r="X24" s="4">
        <f>Worksheet!X24*120 + Worksheet!X58*120 + Worksheet!X92*20</f>
        <v>0</v>
      </c>
      <c r="Y24" s="4">
        <f>Worksheet!Y24*120 + Worksheet!Y58*120 + Worksheet!Y92*20</f>
        <v>0</v>
      </c>
      <c r="Z24" s="4">
        <f>Worksheet!Z24*120 + Worksheet!Z58*120 + Worksheet!Z92*20</f>
        <v>0</v>
      </c>
    </row>
    <row r="25" spans="2:26">
      <c r="B25" s="3">
        <v>19</v>
      </c>
      <c r="C25" s="4">
        <f>Worksheet!C25*120 + Worksheet!C59*120 + Worksheet!C93*20</f>
        <v>0</v>
      </c>
      <c r="D25" s="4">
        <f>Worksheet!D25*120 + Worksheet!D59*120 + Worksheet!D93*20</f>
        <v>0</v>
      </c>
      <c r="E25" s="4">
        <f>Worksheet!E25*120 + Worksheet!E59*120 + Worksheet!E93*20</f>
        <v>0</v>
      </c>
      <c r="F25" s="4">
        <f>Worksheet!F25*120 + Worksheet!F59*120 + Worksheet!F93*20</f>
        <v>0</v>
      </c>
      <c r="G25" s="4">
        <f>Worksheet!G25*120 + Worksheet!G59*120 + Worksheet!G93*20</f>
        <v>0</v>
      </c>
      <c r="H25" s="4">
        <f>Worksheet!H25*120 + Worksheet!H59*120 + Worksheet!H93*20</f>
        <v>0</v>
      </c>
      <c r="I25" s="4">
        <f>Worksheet!I25*120 + Worksheet!I59*120 + Worksheet!I93*20</f>
        <v>0</v>
      </c>
      <c r="J25" s="4">
        <f>Worksheet!J25*120 + Worksheet!J59*120 + Worksheet!J93*20</f>
        <v>0</v>
      </c>
      <c r="K25" s="4">
        <f>Worksheet!K25*120 + Worksheet!K59*120 + Worksheet!K93*20</f>
        <v>0</v>
      </c>
      <c r="L25" s="4">
        <f>Worksheet!L25*120 + Worksheet!L59*120 + Worksheet!L93*20</f>
        <v>0</v>
      </c>
      <c r="M25" s="4">
        <f>Worksheet!M25*120 + Worksheet!M59*120 + Worksheet!M93*20</f>
        <v>0</v>
      </c>
      <c r="N25" s="4">
        <f>Worksheet!N25*120 + Worksheet!N59*120 + Worksheet!N93*20</f>
        <v>0</v>
      </c>
      <c r="O25" s="4">
        <f>Worksheet!O25*120 + Worksheet!O59*120 + Worksheet!O93*20</f>
        <v>0</v>
      </c>
      <c r="P25" s="4">
        <f>Worksheet!P25*120 + Worksheet!P59*120 + Worksheet!P93*20</f>
        <v>0</v>
      </c>
      <c r="Q25" s="4">
        <f>Worksheet!Q25*120 + Worksheet!Q59*120 + Worksheet!Q93*20</f>
        <v>0</v>
      </c>
      <c r="R25" s="4">
        <f>Worksheet!R25*120 + Worksheet!R59*120 + Worksheet!R93*20</f>
        <v>0</v>
      </c>
      <c r="S25" s="4">
        <f>Worksheet!S25*120 + Worksheet!S59*120 + Worksheet!S93*20</f>
        <v>0</v>
      </c>
      <c r="T25" s="4">
        <f>Worksheet!T25*120 + Worksheet!T59*120 + Worksheet!T93*20</f>
        <v>0</v>
      </c>
      <c r="U25" s="4">
        <f>Worksheet!U25*120 + Worksheet!U59*120 + Worksheet!U93*20</f>
        <v>0</v>
      </c>
      <c r="V25" s="4">
        <f>Worksheet!V25*120 + Worksheet!V59*120 + Worksheet!V93*20</f>
        <v>0</v>
      </c>
      <c r="W25" s="4">
        <f>Worksheet!W25*120 + Worksheet!W59*120 + Worksheet!W93*20</f>
        <v>0</v>
      </c>
      <c r="X25" s="4">
        <f>Worksheet!X25*120 + Worksheet!X59*120 + Worksheet!X93*20</f>
        <v>0</v>
      </c>
      <c r="Y25" s="4">
        <f>Worksheet!Y25*120 + Worksheet!Y59*120 + Worksheet!Y93*20</f>
        <v>0</v>
      </c>
      <c r="Z25" s="4">
        <f>Worksheet!Z25*120 + Worksheet!Z59*120 + Worksheet!Z93*20</f>
        <v>0</v>
      </c>
    </row>
    <row r="26" spans="2:26">
      <c r="B26" s="3">
        <v>20</v>
      </c>
      <c r="C26" s="4">
        <f>Worksheet!C26*120 + Worksheet!C60*120 + Worksheet!C94*20</f>
        <v>0</v>
      </c>
      <c r="D26" s="4">
        <f>Worksheet!D26*120 + Worksheet!D60*120 + Worksheet!D94*20</f>
        <v>0</v>
      </c>
      <c r="E26" s="4">
        <f>Worksheet!E26*120 + Worksheet!E60*120 + Worksheet!E94*20</f>
        <v>0</v>
      </c>
      <c r="F26" s="4">
        <f>Worksheet!F26*120 + Worksheet!F60*120 + Worksheet!F94*20</f>
        <v>0</v>
      </c>
      <c r="G26" s="4">
        <f>Worksheet!G26*120 + Worksheet!G60*120 + Worksheet!G94*20</f>
        <v>0</v>
      </c>
      <c r="H26" s="4">
        <f>Worksheet!H26*120 + Worksheet!H60*120 + Worksheet!H94*20</f>
        <v>0</v>
      </c>
      <c r="I26" s="4">
        <f>Worksheet!I26*120 + Worksheet!I60*120 + Worksheet!I94*20</f>
        <v>0</v>
      </c>
      <c r="J26" s="4">
        <f>Worksheet!J26*120 + Worksheet!J60*120 + Worksheet!J94*20</f>
        <v>0</v>
      </c>
      <c r="K26" s="4">
        <f>Worksheet!K26*120 + Worksheet!K60*120 + Worksheet!K94*20</f>
        <v>0</v>
      </c>
      <c r="L26" s="4">
        <f>Worksheet!L26*120 + Worksheet!L60*120 + Worksheet!L94*20</f>
        <v>0</v>
      </c>
      <c r="M26" s="4">
        <f>Worksheet!M26*120 + Worksheet!M60*120 + Worksheet!M94*20</f>
        <v>0</v>
      </c>
      <c r="N26" s="4">
        <f>Worksheet!N26*120 + Worksheet!N60*120 + Worksheet!N94*20</f>
        <v>0</v>
      </c>
      <c r="O26" s="4">
        <f>Worksheet!O26*120 + Worksheet!O60*120 + Worksheet!O94*20</f>
        <v>0</v>
      </c>
      <c r="P26" s="4">
        <f>Worksheet!P26*120 + Worksheet!P60*120 + Worksheet!P94*20</f>
        <v>0</v>
      </c>
      <c r="Q26" s="4">
        <f>Worksheet!Q26*120 + Worksheet!Q60*120 + Worksheet!Q94*20</f>
        <v>0</v>
      </c>
      <c r="R26" s="4">
        <f>Worksheet!R26*120 + Worksheet!R60*120 + Worksheet!R94*20</f>
        <v>0</v>
      </c>
      <c r="S26" s="4">
        <f>Worksheet!S26*120 + Worksheet!S60*120 + Worksheet!S94*20</f>
        <v>0</v>
      </c>
      <c r="T26" s="4">
        <f>Worksheet!T26*120 + Worksheet!T60*120 + Worksheet!T94*20</f>
        <v>0</v>
      </c>
      <c r="U26" s="4">
        <f>Worksheet!U26*120 + Worksheet!U60*120 + Worksheet!U94*20</f>
        <v>0</v>
      </c>
      <c r="V26" s="4">
        <f>Worksheet!V26*120 + Worksheet!V60*120 + Worksheet!V94*20</f>
        <v>0</v>
      </c>
      <c r="W26" s="4">
        <f>Worksheet!W26*120 + Worksheet!W60*120 + Worksheet!W94*20</f>
        <v>0</v>
      </c>
      <c r="X26" s="4">
        <f>Worksheet!X26*120 + Worksheet!X60*120 + Worksheet!X94*20</f>
        <v>0</v>
      </c>
      <c r="Y26" s="4">
        <f>Worksheet!Y26*120 + Worksheet!Y60*120 + Worksheet!Y94*20</f>
        <v>0</v>
      </c>
      <c r="Z26" s="4">
        <f>Worksheet!Z26*120 + Worksheet!Z60*120 + Worksheet!Z94*20</f>
        <v>0</v>
      </c>
    </row>
    <row r="27" spans="2:26">
      <c r="B27" s="3">
        <v>21</v>
      </c>
      <c r="C27" s="4">
        <f>Worksheet!C27*120 + Worksheet!C61*120 + Worksheet!C95*20</f>
        <v>0</v>
      </c>
      <c r="D27" s="4">
        <f>Worksheet!D27*120 + Worksheet!D61*120 + Worksheet!D95*20</f>
        <v>0</v>
      </c>
      <c r="E27" s="4">
        <f>Worksheet!E27*120 + Worksheet!E61*120 + Worksheet!E95*20</f>
        <v>0</v>
      </c>
      <c r="F27" s="4">
        <f>Worksheet!F27*120 + Worksheet!F61*120 + Worksheet!F95*20</f>
        <v>0</v>
      </c>
      <c r="G27" s="4">
        <f>Worksheet!G27*120 + Worksheet!G61*120 + Worksheet!G95*20</f>
        <v>0</v>
      </c>
      <c r="H27" s="4">
        <f>Worksheet!H27*120 + Worksheet!H61*120 + Worksheet!H95*20</f>
        <v>0</v>
      </c>
      <c r="I27" s="4">
        <f>Worksheet!I27*120 + Worksheet!I61*120 + Worksheet!I95*20</f>
        <v>0</v>
      </c>
      <c r="J27" s="4">
        <f>Worksheet!J27*120 + Worksheet!J61*120 + Worksheet!J95*20</f>
        <v>0</v>
      </c>
      <c r="K27" s="4">
        <f>Worksheet!K27*120 + Worksheet!K61*120 + Worksheet!K95*20</f>
        <v>0</v>
      </c>
      <c r="L27" s="4">
        <f>Worksheet!L27*120 + Worksheet!L61*120 + Worksheet!L95*20</f>
        <v>0</v>
      </c>
      <c r="M27" s="4">
        <f>Worksheet!M27*120 + Worksheet!M61*120 + Worksheet!M95*20</f>
        <v>0</v>
      </c>
      <c r="N27" s="4">
        <f>Worksheet!N27*120 + Worksheet!N61*120 + Worksheet!N95*20</f>
        <v>0</v>
      </c>
      <c r="O27" s="4">
        <f>Worksheet!O27*120 + Worksheet!O61*120 + Worksheet!O95*20</f>
        <v>0</v>
      </c>
      <c r="P27" s="4">
        <f>Worksheet!P27*120 + Worksheet!P61*120 + Worksheet!P95*20</f>
        <v>0</v>
      </c>
      <c r="Q27" s="4">
        <f>Worksheet!Q27*120 + Worksheet!Q61*120 + Worksheet!Q95*20</f>
        <v>0</v>
      </c>
      <c r="R27" s="4">
        <f>Worksheet!R27*120 + Worksheet!R61*120 + Worksheet!R95*20</f>
        <v>0</v>
      </c>
      <c r="S27" s="4">
        <f>Worksheet!S27*120 + Worksheet!S61*120 + Worksheet!S95*20</f>
        <v>0</v>
      </c>
      <c r="T27" s="4">
        <f>Worksheet!T27*120 + Worksheet!T61*120 + Worksheet!T95*20</f>
        <v>0</v>
      </c>
      <c r="U27" s="4">
        <f>Worksheet!U27*120 + Worksheet!U61*120 + Worksheet!U95*20</f>
        <v>0</v>
      </c>
      <c r="V27" s="4">
        <f>Worksheet!V27*120 + Worksheet!V61*120 + Worksheet!V95*20</f>
        <v>0</v>
      </c>
      <c r="W27" s="4">
        <f>Worksheet!W27*120 + Worksheet!W61*120 + Worksheet!W95*20</f>
        <v>0</v>
      </c>
      <c r="X27" s="4">
        <f>Worksheet!X27*120 + Worksheet!X61*120 + Worksheet!X95*20</f>
        <v>0</v>
      </c>
      <c r="Y27" s="4">
        <f>Worksheet!Y27*120 + Worksheet!Y61*120 + Worksheet!Y95*20</f>
        <v>0</v>
      </c>
      <c r="Z27" s="4">
        <f>Worksheet!Z27*120 + Worksheet!Z61*120 + Worksheet!Z95*20</f>
        <v>0</v>
      </c>
    </row>
    <row r="28" spans="2:26">
      <c r="B28" s="3">
        <v>22</v>
      </c>
      <c r="C28" s="4">
        <f>Worksheet!C28*120 + Worksheet!C62*120 + Worksheet!C96*20</f>
        <v>0</v>
      </c>
      <c r="D28" s="4">
        <f>Worksheet!D28*120 + Worksheet!D62*120 + Worksheet!D96*20</f>
        <v>0</v>
      </c>
      <c r="E28" s="4">
        <f>Worksheet!E28*120 + Worksheet!E62*120 + Worksheet!E96*20</f>
        <v>0</v>
      </c>
      <c r="F28" s="4">
        <f>Worksheet!F28*120 + Worksheet!F62*120 + Worksheet!F96*20</f>
        <v>0</v>
      </c>
      <c r="G28" s="4">
        <f>Worksheet!G28*120 + Worksheet!G62*120 + Worksheet!G96*20</f>
        <v>0</v>
      </c>
      <c r="H28" s="4">
        <f>Worksheet!H28*120 + Worksheet!H62*120 + Worksheet!H96*20</f>
        <v>0</v>
      </c>
      <c r="I28" s="4">
        <f>Worksheet!I28*120 + Worksheet!I62*120 + Worksheet!I96*20</f>
        <v>0</v>
      </c>
      <c r="J28" s="4">
        <f>Worksheet!J28*120 + Worksheet!J62*120 + Worksheet!J96*20</f>
        <v>0</v>
      </c>
      <c r="K28" s="4">
        <f>Worksheet!K28*120 + Worksheet!K62*120 + Worksheet!K96*20</f>
        <v>0</v>
      </c>
      <c r="L28" s="4">
        <f>Worksheet!L28*120 + Worksheet!L62*120 + Worksheet!L96*20</f>
        <v>0</v>
      </c>
      <c r="M28" s="4">
        <f>Worksheet!M28*120 + Worksheet!M62*120 + Worksheet!M96*20</f>
        <v>0</v>
      </c>
      <c r="N28" s="4">
        <f>Worksheet!N28*120 + Worksheet!N62*120 + Worksheet!N96*20</f>
        <v>0</v>
      </c>
      <c r="O28" s="4">
        <f>Worksheet!O28*120 + Worksheet!O62*120 + Worksheet!O96*20</f>
        <v>0</v>
      </c>
      <c r="P28" s="4">
        <f>Worksheet!P28*120 + Worksheet!P62*120 + Worksheet!P96*20</f>
        <v>0</v>
      </c>
      <c r="Q28" s="4">
        <f>Worksheet!Q28*120 + Worksheet!Q62*120 + Worksheet!Q96*20</f>
        <v>0</v>
      </c>
      <c r="R28" s="4">
        <f>Worksheet!R28*120 + Worksheet!R62*120 + Worksheet!R96*20</f>
        <v>0</v>
      </c>
      <c r="S28" s="4">
        <f>Worksheet!S28*120 + Worksheet!S62*120 + Worksheet!S96*20</f>
        <v>0</v>
      </c>
      <c r="T28" s="4">
        <f>Worksheet!T28*120 + Worksheet!T62*120 + Worksheet!T96*20</f>
        <v>0</v>
      </c>
      <c r="U28" s="4">
        <f>Worksheet!U28*120 + Worksheet!U62*120 + Worksheet!U96*20</f>
        <v>0</v>
      </c>
      <c r="V28" s="4">
        <f>Worksheet!V28*120 + Worksheet!V62*120 + Worksheet!V96*20</f>
        <v>0</v>
      </c>
      <c r="W28" s="4">
        <f>Worksheet!W28*120 + Worksheet!W62*120 + Worksheet!W96*20</f>
        <v>0</v>
      </c>
      <c r="X28" s="4">
        <f>Worksheet!X28*120 + Worksheet!X62*120 + Worksheet!X96*20</f>
        <v>0</v>
      </c>
      <c r="Y28" s="4">
        <f>Worksheet!Y28*120 + Worksheet!Y62*120 + Worksheet!Y96*20</f>
        <v>0</v>
      </c>
      <c r="Z28" s="4">
        <f>Worksheet!Z28*120 + Worksheet!Z62*120 + Worksheet!Z96*20</f>
        <v>0</v>
      </c>
    </row>
    <row r="29" spans="2:26">
      <c r="B29" s="3">
        <v>23</v>
      </c>
      <c r="C29" s="4">
        <f>Worksheet!C29*120 + Worksheet!C63*120 + Worksheet!C97*20</f>
        <v>0</v>
      </c>
      <c r="D29" s="4">
        <f>Worksheet!D29*120 + Worksheet!D63*120 + Worksheet!D97*20</f>
        <v>0</v>
      </c>
      <c r="E29" s="4">
        <f>Worksheet!E29*120 + Worksheet!E63*120 + Worksheet!E97*20</f>
        <v>0</v>
      </c>
      <c r="F29" s="4">
        <f>Worksheet!F29*120 + Worksheet!F63*120 + Worksheet!F97*20</f>
        <v>0</v>
      </c>
      <c r="G29" s="4">
        <f>Worksheet!G29*120 + Worksheet!G63*120 + Worksheet!G97*20</f>
        <v>0</v>
      </c>
      <c r="H29" s="4">
        <f>Worksheet!H29*120 + Worksheet!H63*120 + Worksheet!H97*20</f>
        <v>0</v>
      </c>
      <c r="I29" s="4">
        <f>Worksheet!I29*120 + Worksheet!I63*120 + Worksheet!I97*20</f>
        <v>0</v>
      </c>
      <c r="J29" s="4">
        <f>Worksheet!J29*120 + Worksheet!J63*120 + Worksheet!J97*20</f>
        <v>0</v>
      </c>
      <c r="K29" s="4">
        <f>Worksheet!K29*120 + Worksheet!K63*120 + Worksheet!K97*20</f>
        <v>0</v>
      </c>
      <c r="L29" s="4">
        <f>Worksheet!L29*120 + Worksheet!L63*120 + Worksheet!L97*20</f>
        <v>0</v>
      </c>
      <c r="M29" s="4">
        <f>Worksheet!M29*120 + Worksheet!M63*120 + Worksheet!M97*20</f>
        <v>0</v>
      </c>
      <c r="N29" s="4">
        <f>Worksheet!N29*120 + Worksheet!N63*120 + Worksheet!N97*20</f>
        <v>0</v>
      </c>
      <c r="O29" s="4">
        <f>Worksheet!O29*120 + Worksheet!O63*120 + Worksheet!O97*20</f>
        <v>0</v>
      </c>
      <c r="P29" s="4">
        <f>Worksheet!P29*120 + Worksheet!P63*120 + Worksheet!P97*20</f>
        <v>0</v>
      </c>
      <c r="Q29" s="4">
        <f>Worksheet!Q29*120 + Worksheet!Q63*120 + Worksheet!Q97*20</f>
        <v>0</v>
      </c>
      <c r="R29" s="4">
        <f>Worksheet!R29*120 + Worksheet!R63*120 + Worksheet!R97*20</f>
        <v>0</v>
      </c>
      <c r="S29" s="4">
        <f>Worksheet!S29*120 + Worksheet!S63*120 + Worksheet!S97*20</f>
        <v>0</v>
      </c>
      <c r="T29" s="4">
        <f>Worksheet!T29*120 + Worksheet!T63*120 + Worksheet!T97*20</f>
        <v>0</v>
      </c>
      <c r="U29" s="4">
        <f>Worksheet!U29*120 + Worksheet!U63*120 + Worksheet!U97*20</f>
        <v>0</v>
      </c>
      <c r="V29" s="4">
        <f>Worksheet!V29*120 + Worksheet!V63*120 + Worksheet!V97*20</f>
        <v>0</v>
      </c>
      <c r="W29" s="4">
        <f>Worksheet!W29*120 + Worksheet!W63*120 + Worksheet!W97*20</f>
        <v>0</v>
      </c>
      <c r="X29" s="4">
        <f>Worksheet!X29*120 + Worksheet!X63*120 + Worksheet!X97*20</f>
        <v>0</v>
      </c>
      <c r="Y29" s="4">
        <f>Worksheet!Y29*120 + Worksheet!Y63*120 + Worksheet!Y97*20</f>
        <v>0</v>
      </c>
      <c r="Z29" s="4">
        <f>Worksheet!Z29*120 + Worksheet!Z63*120 + Worksheet!Z97*20</f>
        <v>0</v>
      </c>
    </row>
    <row r="30" spans="2:26">
      <c r="B30" s="3">
        <v>24</v>
      </c>
      <c r="C30" s="4">
        <f>Worksheet!C30*120 + Worksheet!C64*120 + Worksheet!C98*20</f>
        <v>0</v>
      </c>
      <c r="D30" s="4">
        <f>Worksheet!D30*120 + Worksheet!D64*120 + Worksheet!D98*20</f>
        <v>0</v>
      </c>
      <c r="E30" s="4">
        <f>Worksheet!E30*120 + Worksheet!E64*120 + Worksheet!E98*20</f>
        <v>0</v>
      </c>
      <c r="F30" s="4">
        <f>Worksheet!F30*120 + Worksheet!F64*120 + Worksheet!F98*20</f>
        <v>0</v>
      </c>
      <c r="G30" s="4">
        <f>Worksheet!G30*120 + Worksheet!G64*120 + Worksheet!G98*20</f>
        <v>0</v>
      </c>
      <c r="H30" s="4">
        <f>Worksheet!H30*120 + Worksheet!H64*120 + Worksheet!H98*20</f>
        <v>0</v>
      </c>
      <c r="I30" s="4">
        <f>Worksheet!I30*120 + Worksheet!I64*120 + Worksheet!I98*20</f>
        <v>0</v>
      </c>
      <c r="J30" s="4">
        <f>Worksheet!J30*120 + Worksheet!J64*120 + Worksheet!J98*20</f>
        <v>0</v>
      </c>
      <c r="K30" s="4">
        <f>Worksheet!K30*120 + Worksheet!K64*120 + Worksheet!K98*20</f>
        <v>0</v>
      </c>
      <c r="L30" s="4">
        <f>Worksheet!L30*120 + Worksheet!L64*120 + Worksheet!L98*20</f>
        <v>0</v>
      </c>
      <c r="M30" s="4">
        <f>Worksheet!M30*120 + Worksheet!M64*120 + Worksheet!M98*20</f>
        <v>0</v>
      </c>
      <c r="N30" s="4">
        <f>Worksheet!N30*120 + Worksheet!N64*120 + Worksheet!N98*20</f>
        <v>0</v>
      </c>
      <c r="O30" s="4">
        <f>Worksheet!O30*120 + Worksheet!O64*120 + Worksheet!O98*20</f>
        <v>0</v>
      </c>
      <c r="P30" s="4">
        <f>Worksheet!P30*120 + Worksheet!P64*120 + Worksheet!P98*20</f>
        <v>0</v>
      </c>
      <c r="Q30" s="4">
        <f>Worksheet!Q30*120 + Worksheet!Q64*120 + Worksheet!Q98*20</f>
        <v>0</v>
      </c>
      <c r="R30" s="4">
        <f>Worksheet!R30*120 + Worksheet!R64*120 + Worksheet!R98*20</f>
        <v>0</v>
      </c>
      <c r="S30" s="4">
        <f>Worksheet!S30*120 + Worksheet!S64*120 + Worksheet!S98*20</f>
        <v>0</v>
      </c>
      <c r="T30" s="4">
        <f>Worksheet!T30*120 + Worksheet!T64*120 + Worksheet!T98*20</f>
        <v>0</v>
      </c>
      <c r="U30" s="4">
        <f>Worksheet!U30*120 + Worksheet!U64*120 + Worksheet!U98*20</f>
        <v>0</v>
      </c>
      <c r="V30" s="4">
        <f>Worksheet!V30*120 + Worksheet!V64*120 + Worksheet!V98*20</f>
        <v>0</v>
      </c>
      <c r="W30" s="4">
        <f>Worksheet!W30*120 + Worksheet!W64*120 + Worksheet!W98*20</f>
        <v>0</v>
      </c>
      <c r="X30" s="4">
        <f>Worksheet!X30*120 + Worksheet!X64*120 + Worksheet!X98*20</f>
        <v>0</v>
      </c>
      <c r="Y30" s="4">
        <f>Worksheet!Y30*120 + Worksheet!Y64*120 + Worksheet!Y98*20</f>
        <v>0</v>
      </c>
      <c r="Z30" s="4">
        <f>Worksheet!Z30*120 + Worksheet!Z64*120 + Worksheet!Z98*20</f>
        <v>0</v>
      </c>
    </row>
    <row r="31" spans="2:26">
      <c r="B31" s="3">
        <v>25</v>
      </c>
      <c r="C31" s="4">
        <f>Worksheet!C31*120 + Worksheet!C65*120 + Worksheet!C99*20</f>
        <v>0</v>
      </c>
      <c r="D31" s="4">
        <f>Worksheet!D31*120 + Worksheet!D65*120 + Worksheet!D99*20</f>
        <v>0</v>
      </c>
      <c r="E31" s="4">
        <f>Worksheet!E31*120 + Worksheet!E65*120 + Worksheet!E99*20</f>
        <v>0</v>
      </c>
      <c r="F31" s="4">
        <f>Worksheet!F31*120 + Worksheet!F65*120 + Worksheet!F99*20</f>
        <v>0</v>
      </c>
      <c r="G31" s="4">
        <f>Worksheet!G31*120 + Worksheet!G65*120 + Worksheet!G99*20</f>
        <v>0</v>
      </c>
      <c r="H31" s="4">
        <f>Worksheet!H31*120 + Worksheet!H65*120 + Worksheet!H99*20</f>
        <v>0</v>
      </c>
      <c r="I31" s="4">
        <f>Worksheet!I31*120 + Worksheet!I65*120 + Worksheet!I99*20</f>
        <v>0</v>
      </c>
      <c r="J31" s="4">
        <f>Worksheet!J31*120 + Worksheet!J65*120 + Worksheet!J99*20</f>
        <v>0</v>
      </c>
      <c r="K31" s="4">
        <f>Worksheet!K31*120 + Worksheet!K65*120 + Worksheet!K99*20</f>
        <v>0</v>
      </c>
      <c r="L31" s="4">
        <f>Worksheet!L31*120 + Worksheet!L65*120 + Worksheet!L99*20</f>
        <v>0</v>
      </c>
      <c r="M31" s="4">
        <f>Worksheet!M31*120 + Worksheet!M65*120 + Worksheet!M99*20</f>
        <v>0</v>
      </c>
      <c r="N31" s="4">
        <f>Worksheet!N31*120 + Worksheet!N65*120 + Worksheet!N99*20</f>
        <v>0</v>
      </c>
      <c r="O31" s="4">
        <f>Worksheet!O31*120 + Worksheet!O65*120 + Worksheet!O99*20</f>
        <v>0</v>
      </c>
      <c r="P31" s="4">
        <f>Worksheet!P31*120 + Worksheet!P65*120 + Worksheet!P99*20</f>
        <v>0</v>
      </c>
      <c r="Q31" s="4">
        <f>Worksheet!Q31*120 + Worksheet!Q65*120 + Worksheet!Q99*20</f>
        <v>0</v>
      </c>
      <c r="R31" s="4">
        <f>Worksheet!R31*120 + Worksheet!R65*120 + Worksheet!R99*20</f>
        <v>0</v>
      </c>
      <c r="S31" s="4">
        <f>Worksheet!S31*120 + Worksheet!S65*120 + Worksheet!S99*20</f>
        <v>0</v>
      </c>
      <c r="T31" s="4">
        <f>Worksheet!T31*120 + Worksheet!T65*120 + Worksheet!T99*20</f>
        <v>0</v>
      </c>
      <c r="U31" s="4">
        <f>Worksheet!U31*120 + Worksheet!U65*120 + Worksheet!U99*20</f>
        <v>0</v>
      </c>
      <c r="V31" s="4">
        <f>Worksheet!V31*120 + Worksheet!V65*120 + Worksheet!V99*20</f>
        <v>0</v>
      </c>
      <c r="W31" s="4">
        <f>Worksheet!W31*120 + Worksheet!W65*120 + Worksheet!W99*20</f>
        <v>0</v>
      </c>
      <c r="X31" s="4">
        <f>Worksheet!X31*120 + Worksheet!X65*120 + Worksheet!X99*20</f>
        <v>0</v>
      </c>
      <c r="Y31" s="4">
        <f>Worksheet!Y31*120 + Worksheet!Y65*120 + Worksheet!Y99*20</f>
        <v>0</v>
      </c>
      <c r="Z31" s="4">
        <f>Worksheet!Z31*120 + Worksheet!Z65*120 + Worksheet!Z99*20</f>
        <v>0</v>
      </c>
    </row>
    <row r="32" spans="2:26">
      <c r="B32" s="3">
        <v>26</v>
      </c>
      <c r="C32" s="4">
        <f>Worksheet!C32*120 + Worksheet!C66*120 + Worksheet!C100*20</f>
        <v>0</v>
      </c>
      <c r="D32" s="4">
        <f>Worksheet!D32*120 + Worksheet!D66*120 + Worksheet!D100*20</f>
        <v>0</v>
      </c>
      <c r="E32" s="4">
        <f>Worksheet!E32*120 + Worksheet!E66*120 + Worksheet!E100*20</f>
        <v>0</v>
      </c>
      <c r="F32" s="4">
        <f>Worksheet!F32*120 + Worksheet!F66*120 + Worksheet!F100*20</f>
        <v>0</v>
      </c>
      <c r="G32" s="4">
        <f>Worksheet!G32*120 + Worksheet!G66*120 + Worksheet!G100*20</f>
        <v>0</v>
      </c>
      <c r="H32" s="4">
        <f>Worksheet!H32*120 + Worksheet!H66*120 + Worksheet!H100*20</f>
        <v>0</v>
      </c>
      <c r="I32" s="4">
        <f>Worksheet!I32*120 + Worksheet!I66*120 + Worksheet!I100*20</f>
        <v>0</v>
      </c>
      <c r="J32" s="4">
        <f>Worksheet!J32*120 + Worksheet!J66*120 + Worksheet!J100*20</f>
        <v>0</v>
      </c>
      <c r="K32" s="4">
        <f>Worksheet!K32*120 + Worksheet!K66*120 + Worksheet!K100*20</f>
        <v>0</v>
      </c>
      <c r="L32" s="4">
        <f>Worksheet!L32*120 + Worksheet!L66*120 + Worksheet!L100*20</f>
        <v>0</v>
      </c>
      <c r="M32" s="4">
        <f>Worksheet!M32*120 + Worksheet!M66*120 + Worksheet!M100*20</f>
        <v>0</v>
      </c>
      <c r="N32" s="4">
        <f>Worksheet!N32*120 + Worksheet!N66*120 + Worksheet!N100*20</f>
        <v>0</v>
      </c>
      <c r="O32" s="4">
        <f>Worksheet!O32*120 + Worksheet!O66*120 + Worksheet!O100*20</f>
        <v>0</v>
      </c>
      <c r="P32" s="4">
        <f>Worksheet!P32*120 + Worksheet!P66*120 + Worksheet!P100*20</f>
        <v>0</v>
      </c>
      <c r="Q32" s="4">
        <f>Worksheet!Q32*120 + Worksheet!Q66*120 + Worksheet!Q100*20</f>
        <v>0</v>
      </c>
      <c r="R32" s="4">
        <f>Worksheet!R32*120 + Worksheet!R66*120 + Worksheet!R100*20</f>
        <v>0</v>
      </c>
      <c r="S32" s="4">
        <f>Worksheet!S32*120 + Worksheet!S66*120 + Worksheet!S100*20</f>
        <v>0</v>
      </c>
      <c r="T32" s="4">
        <f>Worksheet!T32*120 + Worksheet!T66*120 + Worksheet!T100*20</f>
        <v>0</v>
      </c>
      <c r="U32" s="4">
        <f>Worksheet!U32*120 + Worksheet!U66*120 + Worksheet!U100*20</f>
        <v>0</v>
      </c>
      <c r="V32" s="4">
        <f>Worksheet!V32*120 + Worksheet!V66*120 + Worksheet!V100*20</f>
        <v>0</v>
      </c>
      <c r="W32" s="4">
        <f>Worksheet!W32*120 + Worksheet!W66*120 + Worksheet!W100*20</f>
        <v>0</v>
      </c>
      <c r="X32" s="4">
        <f>Worksheet!X32*120 + Worksheet!X66*120 + Worksheet!X100*20</f>
        <v>0</v>
      </c>
      <c r="Y32" s="4">
        <f>Worksheet!Y32*120 + Worksheet!Y66*120 + Worksheet!Y100*20</f>
        <v>0</v>
      </c>
      <c r="Z32" s="4">
        <f>Worksheet!Z32*120 + Worksheet!Z66*120 + Worksheet!Z100*20</f>
        <v>0</v>
      </c>
    </row>
    <row r="33" spans="2:26">
      <c r="B33" s="3">
        <v>27</v>
      </c>
      <c r="C33" s="4">
        <f>Worksheet!C33*120 + Worksheet!C67*120 + Worksheet!C101*20</f>
        <v>0</v>
      </c>
      <c r="D33" s="4">
        <f>Worksheet!D33*120 + Worksheet!D67*120 + Worksheet!D101*20</f>
        <v>0</v>
      </c>
      <c r="E33" s="4">
        <f>Worksheet!E33*120 + Worksheet!E67*120 + Worksheet!E101*20</f>
        <v>0</v>
      </c>
      <c r="F33" s="4">
        <f>Worksheet!F33*120 + Worksheet!F67*120 + Worksheet!F101*20</f>
        <v>0</v>
      </c>
      <c r="G33" s="4">
        <f>Worksheet!G33*120 + Worksheet!G67*120 + Worksheet!G101*20</f>
        <v>0</v>
      </c>
      <c r="H33" s="4">
        <f>Worksheet!H33*120 + Worksheet!H67*120 + Worksheet!H101*20</f>
        <v>0</v>
      </c>
      <c r="I33" s="4">
        <f>Worksheet!I33*120 + Worksheet!I67*120 + Worksheet!I101*20</f>
        <v>0</v>
      </c>
      <c r="J33" s="4">
        <f>Worksheet!J33*120 + Worksheet!J67*120 + Worksheet!J101*20</f>
        <v>0</v>
      </c>
      <c r="K33" s="4">
        <f>Worksheet!K33*120 + Worksheet!K67*120 + Worksheet!K101*20</f>
        <v>0</v>
      </c>
      <c r="L33" s="4">
        <f>Worksheet!L33*120 + Worksheet!L67*120 + Worksheet!L101*20</f>
        <v>0</v>
      </c>
      <c r="M33" s="4">
        <f>Worksheet!M33*120 + Worksheet!M67*120 + Worksheet!M101*20</f>
        <v>0</v>
      </c>
      <c r="N33" s="4">
        <f>Worksheet!N33*120 + Worksheet!N67*120 + Worksheet!N101*20</f>
        <v>0</v>
      </c>
      <c r="O33" s="4">
        <f>Worksheet!O33*120 + Worksheet!O67*120 + Worksheet!O101*20</f>
        <v>0</v>
      </c>
      <c r="P33" s="4">
        <f>Worksheet!P33*120 + Worksheet!P67*120 + Worksheet!P101*20</f>
        <v>0</v>
      </c>
      <c r="Q33" s="4">
        <f>Worksheet!Q33*120 + Worksheet!Q67*120 + Worksheet!Q101*20</f>
        <v>0</v>
      </c>
      <c r="R33" s="4">
        <f>Worksheet!R33*120 + Worksheet!R67*120 + Worksheet!R101*20</f>
        <v>0</v>
      </c>
      <c r="S33" s="4">
        <f>Worksheet!S33*120 + Worksheet!S67*120 + Worksheet!S101*20</f>
        <v>0</v>
      </c>
      <c r="T33" s="4">
        <f>Worksheet!T33*120 + Worksheet!T67*120 + Worksheet!T101*20</f>
        <v>0</v>
      </c>
      <c r="U33" s="4">
        <f>Worksheet!U33*120 + Worksheet!U67*120 + Worksheet!U101*20</f>
        <v>0</v>
      </c>
      <c r="V33" s="4">
        <f>Worksheet!V33*120 + Worksheet!V67*120 + Worksheet!V101*20</f>
        <v>0</v>
      </c>
      <c r="W33" s="4">
        <f>Worksheet!W33*120 + Worksheet!W67*120 + Worksheet!W101*20</f>
        <v>0</v>
      </c>
      <c r="X33" s="4">
        <f>Worksheet!X33*120 + Worksheet!X67*120 + Worksheet!X101*20</f>
        <v>0</v>
      </c>
      <c r="Y33" s="4">
        <f>Worksheet!Y33*120 + Worksheet!Y67*120 + Worksheet!Y101*20</f>
        <v>0</v>
      </c>
      <c r="Z33" s="4">
        <f>Worksheet!Z33*120 + Worksheet!Z67*120 + Worksheet!Z101*20</f>
        <v>0</v>
      </c>
    </row>
    <row r="34" spans="2:26">
      <c r="B34" s="3">
        <v>28</v>
      </c>
      <c r="C34" s="4">
        <f>Worksheet!C34*120 + Worksheet!C68*120 + Worksheet!C102*20</f>
        <v>0</v>
      </c>
      <c r="D34" s="4">
        <f>Worksheet!D34*120 + Worksheet!D68*120 + Worksheet!D102*20</f>
        <v>0</v>
      </c>
      <c r="E34" s="4">
        <f>Worksheet!E34*120 + Worksheet!E68*120 + Worksheet!E102*20</f>
        <v>0</v>
      </c>
      <c r="F34" s="4">
        <f>Worksheet!F34*120 + Worksheet!F68*120 + Worksheet!F102*20</f>
        <v>0</v>
      </c>
      <c r="G34" s="4">
        <f>Worksheet!G34*120 + Worksheet!G68*120 + Worksheet!G102*20</f>
        <v>0</v>
      </c>
      <c r="H34" s="4">
        <f>Worksheet!H34*120 + Worksheet!H68*120 + Worksheet!H102*20</f>
        <v>0</v>
      </c>
      <c r="I34" s="4">
        <f>Worksheet!I34*120 + Worksheet!I68*120 + Worksheet!I102*20</f>
        <v>0</v>
      </c>
      <c r="J34" s="4">
        <f>Worksheet!J34*120 + Worksheet!J68*120 + Worksheet!J102*20</f>
        <v>0</v>
      </c>
      <c r="K34" s="4">
        <f>Worksheet!K34*120 + Worksheet!K68*120 + Worksheet!K102*20</f>
        <v>0</v>
      </c>
      <c r="L34" s="4">
        <f>Worksheet!L34*120 + Worksheet!L68*120 + Worksheet!L102*20</f>
        <v>0</v>
      </c>
      <c r="M34" s="4">
        <f>Worksheet!M34*120 + Worksheet!M68*120 + Worksheet!M102*20</f>
        <v>0</v>
      </c>
      <c r="N34" s="4">
        <f>Worksheet!N34*120 + Worksheet!N68*120 + Worksheet!N102*20</f>
        <v>0</v>
      </c>
      <c r="O34" s="4">
        <f>Worksheet!O34*120 + Worksheet!O68*120 + Worksheet!O102*20</f>
        <v>0</v>
      </c>
      <c r="P34" s="4">
        <f>Worksheet!P34*120 + Worksheet!P68*120 + Worksheet!P102*20</f>
        <v>0</v>
      </c>
      <c r="Q34" s="4">
        <f>Worksheet!Q34*120 + Worksheet!Q68*120 + Worksheet!Q102*20</f>
        <v>0</v>
      </c>
      <c r="R34" s="4">
        <f>Worksheet!R34*120 + Worksheet!R68*120 + Worksheet!R102*20</f>
        <v>0</v>
      </c>
      <c r="S34" s="4">
        <f>Worksheet!S34*120 + Worksheet!S68*120 + Worksheet!S102*20</f>
        <v>0</v>
      </c>
      <c r="T34" s="4">
        <f>Worksheet!T34*120 + Worksheet!T68*120 + Worksheet!T102*20</f>
        <v>0</v>
      </c>
      <c r="U34" s="4">
        <f>Worksheet!U34*120 + Worksheet!U68*120 + Worksheet!U102*20</f>
        <v>0</v>
      </c>
      <c r="V34" s="4">
        <f>Worksheet!V34*120 + Worksheet!V68*120 + Worksheet!V102*20</f>
        <v>0</v>
      </c>
      <c r="W34" s="4">
        <f>Worksheet!W34*120 + Worksheet!W68*120 + Worksheet!W102*20</f>
        <v>0</v>
      </c>
      <c r="X34" s="4">
        <f>Worksheet!X34*120 + Worksheet!X68*120 + Worksheet!X102*20</f>
        <v>0</v>
      </c>
      <c r="Y34" s="4">
        <f>Worksheet!Y34*120 + Worksheet!Y68*120 + Worksheet!Y102*20</f>
        <v>0</v>
      </c>
      <c r="Z34" s="4">
        <f>Worksheet!Z34*120 + Worksheet!Z68*120 + Worksheet!Z102*20</f>
        <v>0</v>
      </c>
    </row>
    <row r="35" spans="2:26">
      <c r="B35" s="3">
        <v>29</v>
      </c>
      <c r="C35" s="4">
        <f>Worksheet!C35*120 + Worksheet!C69*120 + Worksheet!C103*20</f>
        <v>0</v>
      </c>
      <c r="D35" s="4">
        <f>Worksheet!D35*120 + Worksheet!D69*120 + Worksheet!D103*20</f>
        <v>0</v>
      </c>
      <c r="E35" s="4">
        <f>Worksheet!E35*120 + Worksheet!E69*120 + Worksheet!E103*20</f>
        <v>0</v>
      </c>
      <c r="F35" s="4">
        <f>Worksheet!F35*120 + Worksheet!F69*120 + Worksheet!F103*20</f>
        <v>0</v>
      </c>
      <c r="G35" s="4">
        <f>Worksheet!G35*120 + Worksheet!G69*120 + Worksheet!G103*20</f>
        <v>0</v>
      </c>
      <c r="H35" s="4">
        <f>Worksheet!H35*120 + Worksheet!H69*120 + Worksheet!H103*20</f>
        <v>0</v>
      </c>
      <c r="I35" s="4">
        <f>Worksheet!I35*120 + Worksheet!I69*120 + Worksheet!I103*20</f>
        <v>0</v>
      </c>
      <c r="J35" s="4">
        <f>Worksheet!J35*120 + Worksheet!J69*120 + Worksheet!J103*20</f>
        <v>0</v>
      </c>
      <c r="K35" s="4">
        <f>Worksheet!K35*120 + Worksheet!K69*120 + Worksheet!K103*20</f>
        <v>0</v>
      </c>
      <c r="L35" s="4">
        <f>Worksheet!L35*120 + Worksheet!L69*120 + Worksheet!L103*20</f>
        <v>0</v>
      </c>
      <c r="M35" s="4">
        <f>Worksheet!M35*120 + Worksheet!M69*120 + Worksheet!M103*20</f>
        <v>0</v>
      </c>
      <c r="N35" s="4">
        <f>Worksheet!N35*120 + Worksheet!N69*120 + Worksheet!N103*20</f>
        <v>0</v>
      </c>
      <c r="O35" s="4">
        <f>Worksheet!O35*120 + Worksheet!O69*120 + Worksheet!O103*20</f>
        <v>0</v>
      </c>
      <c r="P35" s="4">
        <f>Worksheet!P35*120 + Worksheet!P69*120 + Worksheet!P103*20</f>
        <v>0</v>
      </c>
      <c r="Q35" s="4">
        <f>Worksheet!Q35*120 + Worksheet!Q69*120 + Worksheet!Q103*20</f>
        <v>0</v>
      </c>
      <c r="R35" s="4">
        <f>Worksheet!R35*120 + Worksheet!R69*120 + Worksheet!R103*20</f>
        <v>0</v>
      </c>
      <c r="S35" s="4">
        <f>Worksheet!S35*120 + Worksheet!S69*120 + Worksheet!S103*20</f>
        <v>0</v>
      </c>
      <c r="T35" s="4">
        <f>Worksheet!T35*120 + Worksheet!T69*120 + Worksheet!T103*20</f>
        <v>0</v>
      </c>
      <c r="U35" s="4">
        <f>Worksheet!U35*120 + Worksheet!U69*120 + Worksheet!U103*20</f>
        <v>0</v>
      </c>
      <c r="V35" s="4">
        <f>Worksheet!V35*120 + Worksheet!V69*120 + Worksheet!V103*20</f>
        <v>0</v>
      </c>
      <c r="W35" s="4">
        <f>Worksheet!W35*120 + Worksheet!W69*120 + Worksheet!W103*20</f>
        <v>0</v>
      </c>
      <c r="X35" s="4">
        <f>Worksheet!X35*120 + Worksheet!X69*120 + Worksheet!X103*20</f>
        <v>0</v>
      </c>
      <c r="Y35" s="4">
        <f>Worksheet!Y35*120 + Worksheet!Y69*120 + Worksheet!Y103*20</f>
        <v>0</v>
      </c>
      <c r="Z35" s="4">
        <f>Worksheet!Z35*120 + Worksheet!Z69*120 + Worksheet!Z103*20</f>
        <v>0</v>
      </c>
    </row>
    <row r="36" spans="2:26">
      <c r="B36" s="3">
        <v>30</v>
      </c>
      <c r="C36" s="4">
        <f>Worksheet!C36*120 + Worksheet!C70*120 + Worksheet!C104*20</f>
        <v>0</v>
      </c>
      <c r="D36" s="4">
        <f>Worksheet!D36*120 + Worksheet!D70*120 + Worksheet!D104*20</f>
        <v>0</v>
      </c>
      <c r="E36" s="4">
        <f>Worksheet!E36*120 + Worksheet!E70*120 + Worksheet!E104*20</f>
        <v>0</v>
      </c>
      <c r="F36" s="4">
        <f>Worksheet!F36*120 + Worksheet!F70*120 + Worksheet!F104*20</f>
        <v>0</v>
      </c>
      <c r="G36" s="4">
        <f>Worksheet!G36*120 + Worksheet!G70*120 + Worksheet!G104*20</f>
        <v>0</v>
      </c>
      <c r="H36" s="4">
        <f>Worksheet!H36*120 + Worksheet!H70*120 + Worksheet!H104*20</f>
        <v>0</v>
      </c>
      <c r="I36" s="4">
        <f>Worksheet!I36*120 + Worksheet!I70*120 + Worksheet!I104*20</f>
        <v>0</v>
      </c>
      <c r="J36" s="4">
        <f>Worksheet!J36*120 + Worksheet!J70*120 + Worksheet!J104*20</f>
        <v>0</v>
      </c>
      <c r="K36" s="4">
        <f>Worksheet!K36*120 + Worksheet!K70*120 + Worksheet!K104*20</f>
        <v>0</v>
      </c>
      <c r="L36" s="4">
        <f>Worksheet!L36*120 + Worksheet!L70*120 + Worksheet!L104*20</f>
        <v>0</v>
      </c>
      <c r="M36" s="4">
        <f>Worksheet!M36*120 + Worksheet!M70*120 + Worksheet!M104*20</f>
        <v>0</v>
      </c>
      <c r="N36" s="4">
        <f>Worksheet!N36*120 + Worksheet!N70*120 + Worksheet!N104*20</f>
        <v>0</v>
      </c>
      <c r="O36" s="4">
        <f>Worksheet!O36*120 + Worksheet!O70*120 + Worksheet!O104*20</f>
        <v>0</v>
      </c>
      <c r="P36" s="4">
        <f>Worksheet!P36*120 + Worksheet!P70*120 + Worksheet!P104*20</f>
        <v>0</v>
      </c>
      <c r="Q36" s="4">
        <f>Worksheet!Q36*120 + Worksheet!Q70*120 + Worksheet!Q104*20</f>
        <v>0</v>
      </c>
      <c r="R36" s="4">
        <f>Worksheet!R36*120 + Worksheet!R70*120 + Worksheet!R104*20</f>
        <v>0</v>
      </c>
      <c r="S36" s="4">
        <f>Worksheet!S36*120 + Worksheet!S70*120 + Worksheet!S104*20</f>
        <v>0</v>
      </c>
      <c r="T36" s="4">
        <f>Worksheet!T36*120 + Worksheet!T70*120 + Worksheet!T104*20</f>
        <v>0</v>
      </c>
      <c r="U36" s="4">
        <f>Worksheet!U36*120 + Worksheet!U70*120 + Worksheet!U104*20</f>
        <v>0</v>
      </c>
      <c r="V36" s="4">
        <f>Worksheet!V36*120 + Worksheet!V70*120 + Worksheet!V104*20</f>
        <v>0</v>
      </c>
      <c r="W36" s="4">
        <f>Worksheet!W36*120 + Worksheet!W70*120 + Worksheet!W104*20</f>
        <v>0</v>
      </c>
      <c r="X36" s="4">
        <f>Worksheet!X36*120 + Worksheet!X70*120 + Worksheet!X104*20</f>
        <v>0</v>
      </c>
      <c r="Y36" s="4">
        <f>Worksheet!Y36*120 + Worksheet!Y70*120 + Worksheet!Y104*20</f>
        <v>0</v>
      </c>
      <c r="Z36" s="4">
        <f>Worksheet!Z36*120 + Worksheet!Z70*120 + Worksheet!Z104*20</f>
        <v>0</v>
      </c>
    </row>
    <row r="37" spans="2:26">
      <c r="B37" s="3">
        <v>31</v>
      </c>
      <c r="C37" s="4">
        <f>Worksheet!C37*120 + Worksheet!C71*120 + Worksheet!C105*20</f>
        <v>0</v>
      </c>
      <c r="D37" s="4">
        <f>Worksheet!D37*120 + Worksheet!D71*120 + Worksheet!D105*20</f>
        <v>0</v>
      </c>
      <c r="E37" s="4">
        <f>Worksheet!E37*120 + Worksheet!E71*120 + Worksheet!E105*20</f>
        <v>0</v>
      </c>
      <c r="F37" s="4">
        <f>Worksheet!F37*120 + Worksheet!F71*120 + Worksheet!F105*20</f>
        <v>0</v>
      </c>
      <c r="G37" s="4">
        <f>Worksheet!G37*120 + Worksheet!G71*120 + Worksheet!G105*20</f>
        <v>0</v>
      </c>
      <c r="H37" s="4">
        <f>Worksheet!H37*120 + Worksheet!H71*120 + Worksheet!H105*20</f>
        <v>0</v>
      </c>
      <c r="I37" s="4">
        <f>Worksheet!I37*120 + Worksheet!I71*120 + Worksheet!I105*20</f>
        <v>0</v>
      </c>
      <c r="J37" s="4">
        <f>Worksheet!J37*120 + Worksheet!J71*120 + Worksheet!J105*20</f>
        <v>0</v>
      </c>
      <c r="K37" s="4">
        <f>Worksheet!K37*120 + Worksheet!K71*120 + Worksheet!K105*20</f>
        <v>0</v>
      </c>
      <c r="L37" s="4">
        <f>Worksheet!L37*120 + Worksheet!L71*120 + Worksheet!L105*20</f>
        <v>0</v>
      </c>
      <c r="M37" s="4">
        <f>Worksheet!M37*120 + Worksheet!M71*120 + Worksheet!M105*20</f>
        <v>0</v>
      </c>
      <c r="N37" s="4">
        <f>Worksheet!N37*120 + Worksheet!N71*120 + Worksheet!N105*20</f>
        <v>0</v>
      </c>
      <c r="O37" s="4">
        <f>Worksheet!O37*120 + Worksheet!O71*120 + Worksheet!O105*20</f>
        <v>0</v>
      </c>
      <c r="P37" s="4">
        <f>Worksheet!P37*120 + Worksheet!P71*120 + Worksheet!P105*20</f>
        <v>0</v>
      </c>
      <c r="Q37" s="4">
        <f>Worksheet!Q37*120 + Worksheet!Q71*120 + Worksheet!Q105*20</f>
        <v>0</v>
      </c>
      <c r="R37" s="4">
        <f>Worksheet!R37*120 + Worksheet!R71*120 + Worksheet!R105*20</f>
        <v>0</v>
      </c>
      <c r="S37" s="4">
        <f>Worksheet!S37*120 + Worksheet!S71*120 + Worksheet!S105*20</f>
        <v>0</v>
      </c>
      <c r="T37" s="4">
        <f>Worksheet!T37*120 + Worksheet!T71*120 + Worksheet!T105*20</f>
        <v>0</v>
      </c>
      <c r="U37" s="4">
        <f>Worksheet!U37*120 + Worksheet!U71*120 + Worksheet!U105*20</f>
        <v>0</v>
      </c>
      <c r="V37" s="4">
        <f>Worksheet!V37*120 + Worksheet!V71*120 + Worksheet!V105*20</f>
        <v>0</v>
      </c>
      <c r="W37" s="4">
        <f>Worksheet!W37*120 + Worksheet!W71*120 + Worksheet!W105*20</f>
        <v>0</v>
      </c>
      <c r="X37" s="4">
        <f>Worksheet!X37*120 + Worksheet!X71*120 + Worksheet!X105*20</f>
        <v>0</v>
      </c>
      <c r="Y37" s="4">
        <f>Worksheet!Y37*120 + Worksheet!Y71*120 + Worksheet!Y105*20</f>
        <v>0</v>
      </c>
      <c r="Z37" s="4">
        <f>Worksheet!Z37*120 + Worksheet!Z71*120 + Worksheet!Z105*20</f>
        <v>0</v>
      </c>
    </row>
    <row r="38" spans="2:26">
      <c r="Y38" s="5" t="s">
        <v>39</v>
      </c>
      <c r="Z38" s="6">
        <f>SUM(C7:Z37)</f>
        <v>0</v>
      </c>
    </row>
    <row r="41" spans="2:26">
      <c r="B41" t="s">
        <v>34</v>
      </c>
      <c r="Q41" t="s">
        <v>40</v>
      </c>
    </row>
  </sheetData>
  <mergeCells count="6">
    <mergeCell ref="A1:Z1"/>
    <mergeCell ref="G2:T2"/>
    <mergeCell ref="B3:D3"/>
    <mergeCell ref="B5:B6"/>
    <mergeCell ref="C5:Z5"/>
    <mergeCell ref="X3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10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spans="1:7">
      <c r="A1" s="8" t="s">
        <v>41</v>
      </c>
      <c r="B1" s="8"/>
      <c r="C1" s="8"/>
      <c r="D1" s="8"/>
      <c r="E1" s="8"/>
      <c r="F1" s="8"/>
      <c r="G1" s="8"/>
    </row>
    <row r="2" spans="1:7">
      <c r="A2" s="8" t="s">
        <v>42</v>
      </c>
      <c r="B2" s="8"/>
      <c r="C2" s="8"/>
      <c r="D2" s="8"/>
      <c r="E2" s="8"/>
      <c r="F2" s="8"/>
      <c r="G2" s="8"/>
    </row>
    <row r="3" spans="1:7" ht="30" customHeight="1">
      <c r="A3" s="9" t="s">
        <v>43</v>
      </c>
      <c r="B3" s="9" t="s">
        <v>44</v>
      </c>
      <c r="C3" s="9" t="s">
        <v>45</v>
      </c>
      <c r="D3" s="9" t="s">
        <v>46</v>
      </c>
      <c r="E3" s="9"/>
      <c r="F3" s="9" t="s">
        <v>49</v>
      </c>
      <c r="G3" s="9" t="s">
        <v>50</v>
      </c>
    </row>
    <row r="4" spans="1:7">
      <c r="A4" s="9"/>
      <c r="B4" s="9"/>
      <c r="C4" s="9"/>
      <c r="D4" s="9" t="s">
        <v>47</v>
      </c>
      <c r="E4" s="9" t="s">
        <v>48</v>
      </c>
      <c r="F4" s="9"/>
      <c r="G4" s="9"/>
    </row>
    <row r="5" spans="1:7">
      <c r="A5" s="9" t="s">
        <v>51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  <c r="G5" s="9" t="s">
        <v>57</v>
      </c>
    </row>
    <row r="6" spans="1:7">
      <c r="A6" s="9" t="s">
        <v>58</v>
      </c>
      <c r="B6" s="5" t="s">
        <v>59</v>
      </c>
      <c r="C6" s="5"/>
      <c r="D6" s="5"/>
      <c r="E6" s="5"/>
      <c r="F6" s="5"/>
      <c r="G6" s="5"/>
    </row>
    <row r="7" spans="1:7">
      <c r="A7" s="9" t="s">
        <v>60</v>
      </c>
      <c r="B7" s="9" t="s">
        <v>61</v>
      </c>
      <c r="C7" s="9" t="s">
        <v>3</v>
      </c>
      <c r="D7" s="9">
        <v>25146.055</v>
      </c>
      <c r="E7" s="9">
        <v>24614.837</v>
      </c>
      <c r="F7" s="9">
        <v>120</v>
      </c>
      <c r="G7" s="9">
        <v>63746.16</v>
      </c>
    </row>
    <row r="8" spans="1:7">
      <c r="A8" s="9" t="s">
        <v>62</v>
      </c>
      <c r="B8" s="9" t="s">
        <v>63</v>
      </c>
      <c r="C8" s="9" t="s">
        <v>3</v>
      </c>
      <c r="D8" s="9">
        <v>15038.031</v>
      </c>
      <c r="E8" s="9">
        <v>14833.833</v>
      </c>
      <c r="F8" s="9">
        <v>120</v>
      </c>
      <c r="G8" s="9">
        <v>24503.88</v>
      </c>
    </row>
    <row r="9" spans="1:7">
      <c r="A9" s="9" t="s">
        <v>64</v>
      </c>
      <c r="B9" s="9" t="s">
        <v>65</v>
      </c>
      <c r="C9" s="9" t="s">
        <v>32</v>
      </c>
      <c r="D9" s="9">
        <v>16757.698</v>
      </c>
      <c r="E9" s="9">
        <v>15934.987</v>
      </c>
      <c r="F9" s="9">
        <v>120</v>
      </c>
      <c r="G9" s="9">
        <v>98725.32000000001</v>
      </c>
    </row>
    <row r="10" spans="1:7">
      <c r="A10" s="9" t="s">
        <v>66</v>
      </c>
      <c r="B10" s="9" t="s">
        <v>67</v>
      </c>
      <c r="C10" s="9" t="s">
        <v>32</v>
      </c>
      <c r="D10" s="9">
        <v>8722.665000000001</v>
      </c>
      <c r="E10" s="9">
        <v>8276.066999999999</v>
      </c>
      <c r="F10" s="9">
        <v>120</v>
      </c>
      <c r="G10" s="9">
        <v>53591.76</v>
      </c>
    </row>
    <row r="11" spans="1:7">
      <c r="A11" s="9" t="s">
        <v>68</v>
      </c>
      <c r="B11" s="9" t="s">
        <v>69</v>
      </c>
      <c r="C11" s="9" t="s">
        <v>33</v>
      </c>
      <c r="D11" s="9">
        <v>1403.452</v>
      </c>
      <c r="E11" s="9">
        <v>583.27</v>
      </c>
      <c r="F11" s="9">
        <v>20</v>
      </c>
      <c r="G11" s="9">
        <v>16403.64</v>
      </c>
    </row>
    <row r="12" spans="1:7">
      <c r="A12" s="9" t="s">
        <v>70</v>
      </c>
      <c r="B12" s="5" t="s">
        <v>71</v>
      </c>
      <c r="C12" s="5"/>
      <c r="D12" s="5"/>
      <c r="E12" s="5"/>
      <c r="F12" s="5"/>
      <c r="G12" s="9">
        <v>3777</v>
      </c>
    </row>
    <row r="13" spans="1:7">
      <c r="A13" s="9" t="s">
        <v>72</v>
      </c>
      <c r="B13" s="9"/>
      <c r="C13" s="9"/>
      <c r="D13" s="9"/>
      <c r="E13" s="9"/>
      <c r="F13" s="9"/>
      <c r="G13" s="9"/>
    </row>
    <row r="14" spans="1:7">
      <c r="A14" s="9" t="s">
        <v>73</v>
      </c>
      <c r="B14" s="5" t="s">
        <v>74</v>
      </c>
      <c r="C14" s="5"/>
      <c r="D14" s="5"/>
      <c r="E14" s="5"/>
      <c r="F14" s="5"/>
      <c r="G14" s="9">
        <v>20464</v>
      </c>
    </row>
    <row r="15" spans="1:7">
      <c r="A15" s="9" t="s">
        <v>75</v>
      </c>
      <c r="B15" s="9" t="s">
        <v>76</v>
      </c>
      <c r="C15" s="9"/>
      <c r="D15" s="9"/>
      <c r="E15" s="9"/>
      <c r="F15" s="9"/>
      <c r="G15" s="9"/>
    </row>
    <row r="16" spans="1:7">
      <c r="A16" s="9" t="s">
        <v>77</v>
      </c>
      <c r="B16" s="9"/>
      <c r="C16" s="9"/>
      <c r="D16" s="9"/>
      <c r="E16" s="9"/>
      <c r="F16" s="9"/>
      <c r="G16" s="9"/>
    </row>
    <row r="17" spans="1:7">
      <c r="A17" s="9" t="s">
        <v>78</v>
      </c>
      <c r="B17" s="5" t="s">
        <v>79</v>
      </c>
      <c r="C17" s="5"/>
      <c r="D17" s="5"/>
      <c r="E17" s="5"/>
      <c r="F17" s="5"/>
      <c r="G17" s="5"/>
    </row>
    <row r="18" spans="1:7">
      <c r="A18" s="9" t="s">
        <v>80</v>
      </c>
      <c r="B18" s="9"/>
      <c r="C18" s="9"/>
      <c r="D18" s="9"/>
      <c r="E18" s="9"/>
      <c r="F18" s="9"/>
      <c r="G18" s="9"/>
    </row>
    <row r="19" spans="1:7">
      <c r="A19" s="9" t="s">
        <v>81</v>
      </c>
      <c r="B19" s="5" t="s">
        <v>82</v>
      </c>
      <c r="C19" s="5"/>
      <c r="D19" s="5"/>
      <c r="E19" s="5"/>
      <c r="F19" s="5"/>
      <c r="G19" s="9">
        <v>182652.12</v>
      </c>
    </row>
    <row r="20" spans="1:7">
      <c r="B20" s="5" t="s">
        <v>83</v>
      </c>
      <c r="C20" s="5"/>
      <c r="D20" s="5"/>
      <c r="E20" s="5"/>
      <c r="F20" s="5"/>
      <c r="G20" s="9">
        <v>98559.64</v>
      </c>
    </row>
    <row r="21" spans="1:7">
      <c r="A21" s="9"/>
      <c r="B21" s="9"/>
      <c r="C21" s="9"/>
      <c r="D21" s="9"/>
      <c r="E21" s="9"/>
      <c r="F21" s="9"/>
      <c r="G21" s="9"/>
    </row>
    <row r="23" spans="1:7">
      <c r="F23" s="10" t="s">
        <v>84</v>
      </c>
    </row>
    <row r="25" spans="1:7">
      <c r="B25" s="10" t="s">
        <v>85</v>
      </c>
    </row>
    <row r="27" spans="1:7">
      <c r="B27" s="10" t="s">
        <v>86</v>
      </c>
    </row>
  </sheetData>
  <mergeCells count="14">
    <mergeCell ref="A1:G1"/>
    <mergeCell ref="A2:G2"/>
    <mergeCell ref="A3:A4"/>
    <mergeCell ref="B3:B4"/>
    <mergeCell ref="C3:C4"/>
    <mergeCell ref="D3:E3"/>
    <mergeCell ref="F3:F4"/>
    <mergeCell ref="G3:G4"/>
    <mergeCell ref="B6:G6"/>
    <mergeCell ref="B12:F12"/>
    <mergeCell ref="B14:F14"/>
    <mergeCell ref="B17:G17"/>
    <mergeCell ref="B19:F19"/>
    <mergeCell ref="B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cols>
    <col min="1" max="1" width="62.28515625" customWidth="1"/>
    <col min="2" max="2" width="28.7109375" customWidth="1"/>
    <col min="3" max="3" width="9.7109375" customWidth="1"/>
    <col min="4" max="4" width="23.42578125" customWidth="1"/>
    <col min="5" max="5" width="16.28515625" customWidth="1"/>
    <col min="6" max="6" width="17.28515625" customWidth="1"/>
    <col min="7" max="7" width="13.42578125" customWidth="1"/>
    <col min="8" max="8" width="13.42578125" customWidth="1"/>
    <col min="9" max="9" width="3.7109375" customWidth="1"/>
    <col min="10" max="10" width="7.28515625" customWidth="1"/>
    <col min="11" max="11" width="8.42578125" customWidth="1"/>
    <col min="12" max="12" width="19.140625" customWidth="1"/>
  </cols>
  <sheetData>
    <row r="1" spans="1:12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2" t="s">
        <v>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7.5" customHeight="1"/>
    <row r="4" spans="1:12">
      <c r="A4" s="12" t="s">
        <v>88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5.25" customHeight="1"/>
    <row r="6" spans="1:12" ht="6" customHeight="1"/>
    <row r="7" spans="1:12" ht="27" customHeight="1">
      <c r="A7" s="13" t="s">
        <v>89</v>
      </c>
      <c r="B7" s="13" t="s">
        <v>90</v>
      </c>
      <c r="C7" s="13" t="s">
        <v>91</v>
      </c>
      <c r="D7" s="13" t="s">
        <v>92</v>
      </c>
      <c r="E7" s="13" t="s">
        <v>93</v>
      </c>
      <c r="F7" s="13" t="s">
        <v>94</v>
      </c>
      <c r="G7" s="13" t="s">
        <v>95</v>
      </c>
      <c r="H7" s="13"/>
      <c r="I7" s="13" t="s">
        <v>98</v>
      </c>
      <c r="J7" s="13"/>
      <c r="K7" s="13" t="s">
        <v>99</v>
      </c>
      <c r="L7" s="13" t="s">
        <v>100</v>
      </c>
    </row>
    <row r="8" spans="1:12" ht="21" customHeight="1">
      <c r="A8" s="13"/>
      <c r="B8" s="13"/>
      <c r="C8" s="13"/>
      <c r="D8" s="13"/>
      <c r="E8" s="13"/>
      <c r="F8" s="13"/>
      <c r="G8" s="13" t="s">
        <v>96</v>
      </c>
      <c r="H8" s="13" t="s">
        <v>97</v>
      </c>
      <c r="I8" s="13"/>
      <c r="J8" s="13"/>
      <c r="K8" s="13"/>
      <c r="L8" s="13"/>
    </row>
    <row r="9" spans="1:12">
      <c r="A9" s="14">
        <v>1</v>
      </c>
      <c r="B9" s="14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 t="s">
        <v>101</v>
      </c>
      <c r="J9" s="14"/>
      <c r="K9" s="14" t="s">
        <v>102</v>
      </c>
      <c r="L9" s="14" t="s">
        <v>103</v>
      </c>
    </row>
    <row r="10" spans="1:12">
      <c r="A10" s="15" t="s">
        <v>59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3.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6" t="s">
        <v>104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30" customHeight="1">
      <c r="A13" s="17" t="s">
        <v>105</v>
      </c>
      <c r="B13" s="13" t="s">
        <v>106</v>
      </c>
      <c r="C13" s="13" t="s">
        <v>107</v>
      </c>
      <c r="D13" s="13" t="s">
        <v>109</v>
      </c>
      <c r="E13" s="13" t="s">
        <v>3</v>
      </c>
      <c r="F13" s="13" t="s">
        <v>111</v>
      </c>
      <c r="G13" s="13" t="s">
        <v>112</v>
      </c>
      <c r="H13" s="13"/>
      <c r="I13" s="13"/>
      <c r="J13" s="13"/>
      <c r="K13" s="13"/>
      <c r="L13" s="18">
        <v>63746.16</v>
      </c>
    </row>
    <row r="14" spans="1:12" ht="30" customHeight="1">
      <c r="A14" s="17"/>
      <c r="B14" s="13"/>
      <c r="C14" s="13" t="s">
        <v>108</v>
      </c>
      <c r="D14" s="13" t="s">
        <v>110</v>
      </c>
      <c r="E14" s="13" t="s">
        <v>32</v>
      </c>
      <c r="F14" s="13" t="s">
        <v>111</v>
      </c>
      <c r="G14" s="13" t="s">
        <v>112</v>
      </c>
      <c r="H14" s="13"/>
      <c r="I14" s="13"/>
      <c r="J14" s="13"/>
      <c r="K14" s="13"/>
      <c r="L14" s="18">
        <v>98725.32000000001</v>
      </c>
    </row>
    <row r="15" spans="1:12" ht="30" customHeight="1">
      <c r="A15" s="17" t="s">
        <v>113</v>
      </c>
      <c r="B15" s="19">
        <v>162471.48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30" customHeight="1">
      <c r="A16" s="17" t="s">
        <v>114</v>
      </c>
      <c r="B16" s="19">
        <v>3474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30" customHeight="1">
      <c r="A17" s="17" t="s">
        <v>115</v>
      </c>
      <c r="B17" s="20">
        <v>165945.48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19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30" customHeight="1">
      <c r="A19" s="17" t="s">
        <v>116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30" customHeight="1">
      <c r="A20" s="1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30" customHeight="1">
      <c r="A21" s="1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30" customHeight="1">
      <c r="A22" s="21" t="s">
        <v>117</v>
      </c>
      <c r="B22" s="13" t="s">
        <v>118</v>
      </c>
      <c r="C22" s="13"/>
      <c r="D22" s="13" t="s">
        <v>109</v>
      </c>
      <c r="E22" s="13" t="s">
        <v>33</v>
      </c>
      <c r="F22" s="13" t="s">
        <v>111</v>
      </c>
      <c r="G22" s="13" t="s">
        <v>112</v>
      </c>
      <c r="H22" s="13"/>
      <c r="I22" s="13"/>
      <c r="J22" s="13"/>
      <c r="K22" s="13"/>
      <c r="L22" s="13">
        <v>16403.64</v>
      </c>
    </row>
    <row r="23" spans="1:12" ht="30" customHeight="1">
      <c r="A23" s="2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idden="1"/>
    <row r="25" spans="1:12" ht="30" customHeight="1">
      <c r="A25" s="21" t="s">
        <v>114</v>
      </c>
      <c r="B25" s="19">
        <v>303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30" customHeight="1">
      <c r="A26" s="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>
      <c r="A27" s="2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>
      <c r="A28" s="17" t="s">
        <v>119</v>
      </c>
      <c r="B28" s="20">
        <v>16706.64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17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17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5" t="s">
        <v>120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22">
        <v>182652.12</v>
      </c>
    </row>
    <row r="37" spans="1:12">
      <c r="A37" s="23" t="s">
        <v>121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40" spans="1:12">
      <c r="A40" s="24" t="s">
        <v>122</v>
      </c>
      <c r="I40" s="24" t="s">
        <v>123</v>
      </c>
      <c r="J40" s="24"/>
      <c r="K40" s="24"/>
      <c r="L40" s="24"/>
    </row>
  </sheetData>
  <mergeCells count="49">
    <mergeCell ref="A1:L1"/>
    <mergeCell ref="A2:L2"/>
    <mergeCell ref="A4:L4"/>
    <mergeCell ref="A7:A8"/>
    <mergeCell ref="B7:B8"/>
    <mergeCell ref="C7:C8"/>
    <mergeCell ref="D7:D8"/>
    <mergeCell ref="E7:E8"/>
    <mergeCell ref="F7:F8"/>
    <mergeCell ref="G7:H7"/>
    <mergeCell ref="I7:J8"/>
    <mergeCell ref="K7:K8"/>
    <mergeCell ref="L7:L8"/>
    <mergeCell ref="I9:J9"/>
    <mergeCell ref="A10:L10"/>
    <mergeCell ref="A11:L11"/>
    <mergeCell ref="G12:K12"/>
    <mergeCell ref="A13:A14"/>
    <mergeCell ref="B13:B14"/>
    <mergeCell ref="G13:K13"/>
    <mergeCell ref="G14:K14"/>
    <mergeCell ref="B15:L15"/>
    <mergeCell ref="B16:L16"/>
    <mergeCell ref="B17:L17"/>
    <mergeCell ref="A18:L18"/>
    <mergeCell ref="A19:A21"/>
    <mergeCell ref="B19:B21"/>
    <mergeCell ref="C19:C21"/>
    <mergeCell ref="D19:D21"/>
    <mergeCell ref="E19:E21"/>
    <mergeCell ref="F19:F21"/>
    <mergeCell ref="G19:K21"/>
    <mergeCell ref="L19:L21"/>
    <mergeCell ref="A22:A23"/>
    <mergeCell ref="B22:B23"/>
    <mergeCell ref="C22:C23"/>
    <mergeCell ref="G22:K22"/>
    <mergeCell ref="G23:K23"/>
    <mergeCell ref="A25:A27"/>
    <mergeCell ref="B25:L27"/>
    <mergeCell ref="A28:A30"/>
    <mergeCell ref="B28:L30"/>
    <mergeCell ref="G31:K31"/>
    <mergeCell ref="G32:K32"/>
    <mergeCell ref="G33:K33"/>
    <mergeCell ref="G34:K34"/>
    <mergeCell ref="A35:K35"/>
    <mergeCell ref="A37:L37"/>
    <mergeCell ref="I40:L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Summa</vt:lpstr>
      <vt:lpstr>Rashod</vt:lpstr>
      <vt:lpstr>Svedeniya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2020-05-29T09:05:59Z</dcterms:created>
  <dcterms:modified xsi:type="dcterms:W3CDTF">2020-05-29T09:05:59Z</dcterms:modified>
</cp:coreProperties>
</file>